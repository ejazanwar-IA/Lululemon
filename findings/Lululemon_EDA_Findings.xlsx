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 Table Checklist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Action Items" sheetId="4" state="visible" r:id="rId4"/>
    <sheet xmlns:r="http://schemas.openxmlformats.org/officeDocument/2006/relationships" name="Build Logic Stubs" sheetId="5" state="visible" r:id="rId5"/>
    <sheet xmlns:r="http://schemas.openxmlformats.org/officeDocument/2006/relationships" name="Canonical Tables" sheetId="6" state="visible" r:id="rId6"/>
    <sheet xmlns:r="http://schemas.openxmlformats.org/officeDocument/2006/relationships" name="Data Quirks" sheetId="7" state="visible" r:id="rId7"/>
    <sheet xmlns:r="http://schemas.openxmlformats.org/officeDocument/2006/relationships" name="Self-Resolved" sheetId="8" state="visible" r:id="rId8"/>
  </sheets>
  <definedNames>
    <definedName name="_xlnm._FilterDatabase" localSheetId="1" hidden="1">'Master Table Checklist'!$A$1:$I$94</definedName>
    <definedName name="_xlnm._FilterDatabase" localSheetId="3" hidden="1">'Action Items'!$A$4:$L$52</definedName>
    <definedName name="_xlnm._FilterDatabase" localSheetId="4" hidden="1">'Build Logic Stubs'!$A$4:$E$37</definedName>
    <definedName name="_xlnm._FilterDatabase" localSheetId="5" hidden="1">'Canonical Tables'!$A$4:$I$30</definedName>
    <definedName name="_xlnm._FilterDatabase" localSheetId="6" hidden="1">'Data Quirks'!$A$4:$E$29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color rgb="007F7F7F"/>
      <sz val="10"/>
    </font>
    <font>
      <b val="1"/>
      <color rgb="00FFFFFF"/>
      <sz val="11"/>
    </font>
    <font>
      <b val="1"/>
      <color rgb="001F4E78"/>
      <sz val="16"/>
    </font>
    <font>
      <i val="1"/>
      <color rgb="007F7F7F"/>
    </font>
    <font>
      <b val="1"/>
      <color rgb="001F4E78"/>
      <sz val="13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EAD1DC"/>
      </patternFill>
    </fill>
    <fill>
      <patternFill patternType="solid">
        <fgColor rgb="00FFF9E6"/>
      </patternFill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5" fillId="3" borderId="0" pivotButton="0" quotePrefix="0" xfId="0"/>
    <xf numFmtId="0" fontId="6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4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7" fillId="1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80" customWidth="1" min="3" max="3"/>
  </cols>
  <sheetData>
    <row r="1">
      <c r="A1" s="1" t="inlineStr">
        <is>
          <t>Lululemon - EDA Findings Workbook (v2)</t>
        </is>
      </c>
    </row>
    <row r="2">
      <c r="A2" s="2" t="inlineStr">
        <is>
          <t>Compiled 2026-04-21 | Owner: Ejaz Anwar | Phase 1 EDA complete on 5 master tables (~7.6B rows / 725 GB)</t>
        </is>
      </c>
    </row>
    <row r="4">
      <c r="A4" s="3" t="inlineStr"/>
      <c r="B4" s="3" t="inlineStr">
        <is>
          <t>Sheet</t>
        </is>
      </c>
      <c r="C4" s="3" t="inlineStr">
        <is>
          <t>What it contains</t>
        </is>
      </c>
    </row>
    <row r="5">
      <c r="A5" s="4" t="inlineStr">
        <is>
          <t>1</t>
        </is>
      </c>
      <c r="B5" s="4" t="inlineStr">
        <is>
          <t>README</t>
        </is>
      </c>
      <c r="C5" s="4" t="inlineStr">
        <is>
          <t>This page — navigation + quick status</t>
        </is>
      </c>
    </row>
    <row r="6">
      <c r="A6" s="4" t="inlineStr">
        <is>
          <t>2</t>
        </is>
      </c>
      <c r="B6" s="4" t="inlineStr">
        <is>
          <t>Dashboard</t>
        </is>
      </c>
      <c r="C6" s="4" t="inlineStr">
        <is>
          <t>Exec-level status per table; item counts by severity</t>
        </is>
      </c>
    </row>
    <row r="7">
      <c r="A7" s="4" t="inlineStr">
        <is>
          <t>3</t>
        </is>
      </c>
      <c r="B7" s="4" t="inlineStr">
        <is>
          <t>Action Items</t>
        </is>
      </c>
      <c r="C7" s="4" t="inlineStr">
        <is>
          <t>Full tracker. Now includes Root Cause categorization.</t>
        </is>
      </c>
    </row>
    <row r="8">
      <c r="A8" s="4" t="inlineStr">
        <is>
          <t>4</t>
        </is>
      </c>
      <c r="B8" s="4" t="inlineStr">
        <is>
          <t>Build Logic Stubs</t>
        </is>
      </c>
      <c r="C8" s="4" t="inlineStr">
        <is>
          <t>Columns hardcoded NULL/0 in master build DDLs — ~30 entries.</t>
        </is>
      </c>
    </row>
    <row r="9">
      <c r="A9" s="4" t="inlineStr">
        <is>
          <t>5</t>
        </is>
      </c>
      <c r="B9" s="4" t="inlineStr">
        <is>
          <t>Canonical Tables</t>
        </is>
      </c>
      <c r="C9" s="4" t="inlineStr">
        <is>
          <t>26 tables we should work with. Size, partition/cluster, PK, EDA status.</t>
        </is>
      </c>
    </row>
    <row r="10">
      <c r="A10" s="4" t="inlineStr">
        <is>
          <t>6</t>
        </is>
      </c>
      <c r="B10" s="4" t="inlineStr">
        <is>
          <t>Data Quirks</t>
        </is>
      </c>
      <c r="C10" s="4" t="inlineStr">
        <is>
          <t>Known sentinels, typos, type inconsistencies, and mitigation patterns.</t>
        </is>
      </c>
    </row>
    <row r="11">
      <c r="A11" s="4" t="inlineStr">
        <is>
          <t>7</t>
        </is>
      </c>
      <c r="B11" s="4" t="inlineStr">
        <is>
          <t>Self-Resolved</t>
        </is>
      </c>
      <c r="C11" s="4" t="inlineStr">
        <is>
          <t>Items we fixed ourselves with derivations (no client wait).</t>
        </is>
      </c>
    </row>
    <row r="12">
      <c r="A12" s="4" t="inlineStr"/>
      <c r="B12" s="4" t="inlineStr"/>
      <c r="C12" s="4" t="inlineStr"/>
    </row>
    <row r="13">
      <c r="A13" s="4" t="inlineStr"/>
      <c r="B13" s="4" t="inlineStr">
        <is>
          <t>v2 Change</t>
        </is>
      </c>
      <c r="C13" s="4" t="inlineStr">
        <is>
          <t>Root Cause categorization added after reviewing master_table_build_queries_20251119.csv.</t>
        </is>
      </c>
    </row>
    <row r="14">
      <c r="A14" s="4" t="inlineStr"/>
      <c r="B14" s="4" t="inlineStr">
        <is>
          <t>Root Cause buckets</t>
        </is>
      </c>
      <c r="C14" s="4" t="inlineStr">
        <is>
          <t>A=Source data (client) | B=Build stub (DE) | C=Logic bug | D=Real anomaly | E=Cosmetic | R=Resolved/workaround</t>
        </is>
      </c>
    </row>
    <row r="15">
      <c r="A15" s="4" t="inlineStr"/>
      <c r="B15" s="4" t="inlineStr">
        <is>
          <t>Key status</t>
        </is>
      </c>
      <c r="C15" s="4" t="inlineStr">
        <is>
          <t>Phase 1 EDA complete. 3 genuine client blockers (A). ~22 build stubs to triage with DE (B). 2 logic questions (C).</t>
        </is>
      </c>
    </row>
    <row r="16">
      <c r="A16" s="4" t="inlineStr"/>
      <c r="B16" s="4" t="inlineStr">
        <is>
          <t>Confluence</t>
        </is>
      </c>
      <c r="C16" s="4" t="inlineStr">
        <is>
          <t>Each EDA page lives under /spaces/~7120208879.../pages/557057 (Data Cleaning &amp; EDA parent)</t>
        </is>
      </c>
    </row>
    <row r="17">
      <c r="A17" s="4" t="inlineStr"/>
      <c r="B17" s="4" t="inlineStr">
        <is>
          <t>Local folder</t>
        </is>
      </c>
      <c r="C17" s="4" t="inlineStr">
        <is>
          <t>/Users/ejazanwarmd/Desktop/Lululemon/</t>
        </is>
      </c>
    </row>
    <row r="18">
      <c r="A18" s="4" t="inlineStr"/>
      <c r="B18" s="4" t="inlineStr">
        <is>
          <t>Key docs</t>
        </is>
      </c>
      <c r="C18" s="4" t="inlineStr">
        <is>
          <t>findings/master_table_build_logic.md | findings/consolidated_p0_p1_issues.md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5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60" customWidth="1" min="9" max="9"/>
  </cols>
  <sheetData>
    <row r="1">
      <c r="A1" s="20" t="inlineStr">
        <is>
          <t>Stage</t>
        </is>
      </c>
      <c r="B1" s="20" t="inlineStr">
        <is>
          <t>ID</t>
        </is>
      </c>
      <c r="C1" s="20" t="inlineStr">
        <is>
          <t>Check</t>
        </is>
      </c>
      <c r="D1" s="20" t="inlineStr">
        <is>
          <t>product</t>
        </is>
      </c>
      <c r="E1" s="20" t="inlineStr">
        <is>
          <t>txn</t>
        </is>
      </c>
      <c r="F1" s="20" t="inlineStr">
        <is>
          <t>inv</t>
        </is>
      </c>
      <c r="G1" s="20" t="inlineStr">
        <is>
          <t>store</t>
        </is>
      </c>
      <c r="H1" s="20" t="inlineStr">
        <is>
          <t>fiscal</t>
        </is>
      </c>
      <c r="I1" s="20" t="inlineStr">
        <is>
          <t>Evidence / Comment</t>
        </is>
      </c>
    </row>
    <row r="2">
      <c r="A2" s="21" t="inlineStr">
        <is>
          <t>0 — Pre-build</t>
        </is>
      </c>
      <c r="B2" s="21" t="inlineStr">
        <is>
          <t>S0.1</t>
        </is>
      </c>
      <c r="C2" s="21" t="inlineStr">
        <is>
          <t>Grain documented up-front</t>
        </is>
      </c>
      <c r="D2" s="22" t="inlineStr">
        <is>
          <t>Done</t>
        </is>
      </c>
      <c r="E2" s="22" t="inlineStr">
        <is>
          <t>Done</t>
        </is>
      </c>
      <c r="F2" s="22" t="inlineStr">
        <is>
          <t>Done</t>
        </is>
      </c>
      <c r="G2" s="22" t="inlineStr">
        <is>
          <t>Done</t>
        </is>
      </c>
      <c r="H2" s="22" t="inlineStr">
        <is>
          <t>Done</t>
        </is>
      </c>
      <c r="I2" s="21" t="inlineStr">
        <is>
          <t>master_table_build_logic.md</t>
        </is>
      </c>
    </row>
    <row r="3">
      <c r="A3" s="21" t="inlineStr">
        <is>
          <t>0 — Pre-build</t>
        </is>
      </c>
      <c r="B3" s="21" t="inlineStr">
        <is>
          <t>S0.2</t>
        </is>
      </c>
      <c r="C3" s="21" t="inlineStr">
        <is>
          <t>Source tables listed with alias convention</t>
        </is>
      </c>
      <c r="D3" s="22" t="inlineStr">
        <is>
          <t>Done</t>
        </is>
      </c>
      <c r="E3" s="22" t="inlineStr">
        <is>
          <t>Done</t>
        </is>
      </c>
      <c r="F3" s="22" t="inlineStr">
        <is>
          <t>Done</t>
        </is>
      </c>
      <c r="G3" s="22" t="inlineStr">
        <is>
          <t>Done</t>
        </is>
      </c>
      <c r="H3" s="22" t="inlineStr">
        <is>
          <t>Done</t>
        </is>
      </c>
      <c r="I3" s="21" t="inlineStr">
        <is>
          <t>master_table_build_logic.md</t>
        </is>
      </c>
    </row>
    <row r="4">
      <c r="A4" s="21" t="inlineStr">
        <is>
          <t>0 — Pre-build</t>
        </is>
      </c>
      <c r="B4" s="21" t="inlineStr">
        <is>
          <t>S0.3</t>
        </is>
      </c>
      <c r="C4" s="21" t="inlineStr">
        <is>
          <t>Column inventory with origin intent</t>
        </is>
      </c>
      <c r="D4" s="22" t="inlineStr">
        <is>
          <t>Done</t>
        </is>
      </c>
      <c r="E4" s="22" t="inlineStr">
        <is>
          <t>Done</t>
        </is>
      </c>
      <c r="F4" s="22" t="inlineStr">
        <is>
          <t>Done</t>
        </is>
      </c>
      <c r="G4" s="22" t="inlineStr">
        <is>
          <t>Done</t>
        </is>
      </c>
      <c r="H4" s="22" t="inlineStr">
        <is>
          <t>Done</t>
        </is>
      </c>
      <c r="I4" s="21" t="inlineStr">
        <is>
          <t>column-origin tables per master</t>
        </is>
      </c>
    </row>
    <row r="5">
      <c r="A5" s="21" t="inlineStr">
        <is>
          <t>0 — Pre-build</t>
        </is>
      </c>
      <c r="B5" s="21" t="inlineStr">
        <is>
          <t>S0.4</t>
        </is>
      </c>
      <c r="C5" s="21" t="inlineStr">
        <is>
          <t>Join keys + cardinality expectation</t>
        </is>
      </c>
      <c r="D5" s="22" t="inlineStr">
        <is>
          <t>Done</t>
        </is>
      </c>
      <c r="E5" s="22" t="inlineStr">
        <is>
          <t>Done</t>
        </is>
      </c>
      <c r="F5" s="22" t="inlineStr">
        <is>
          <t>Done</t>
        </is>
      </c>
      <c r="G5" s="22" t="inlineStr">
        <is>
          <t>Done</t>
        </is>
      </c>
      <c r="H5" s="22" t="inlineStr">
        <is>
          <t>Done</t>
        </is>
      </c>
      <c r="I5" s="21" t="inlineStr">
        <is>
          <t>consolidated_p0_p1_issues.md</t>
        </is>
      </c>
    </row>
    <row r="6">
      <c r="A6" s="21" t="inlineStr">
        <is>
          <t>1 — Build-script review</t>
        </is>
      </c>
      <c r="B6" s="21" t="inlineStr">
        <is>
          <t>S1.1</t>
        </is>
      </c>
      <c r="C6" s="21" t="inlineStr">
        <is>
          <t>Hardcoded NULL/0/constants enumerated &amp; justified</t>
        </is>
      </c>
      <c r="D6" s="22" t="inlineStr">
        <is>
          <t>Done</t>
        </is>
      </c>
      <c r="E6" s="22" t="inlineStr">
        <is>
          <t>Done</t>
        </is>
      </c>
      <c r="F6" s="22" t="inlineStr">
        <is>
          <t>Done</t>
        </is>
      </c>
      <c r="G6" s="22" t="inlineStr">
        <is>
          <t>Done</t>
        </is>
      </c>
      <c r="H6" s="22" t="inlineStr">
        <is>
          <t>Done</t>
        </is>
      </c>
      <c r="I6" s="21" t="inlineStr">
        <is>
          <t>master_table_build_logic.md § 1–6</t>
        </is>
      </c>
    </row>
    <row r="7">
      <c r="A7" s="21" t="inlineStr">
        <is>
          <t>1 — Build-script review</t>
        </is>
      </c>
      <c r="B7" s="21" t="inlineStr">
        <is>
          <t>S1.2</t>
        </is>
      </c>
      <c r="C7" s="21" t="inlineStr">
        <is>
          <t>CASE/IF polarity vs source field verified</t>
        </is>
      </c>
      <c r="D7" s="22" t="inlineStr">
        <is>
          <t>Done</t>
        </is>
      </c>
      <c r="E7" s="23" t="inlineStr">
        <is>
          <t>N/A</t>
        </is>
      </c>
      <c r="F7" s="23" t="inlineStr">
        <is>
          <t>N/A</t>
        </is>
      </c>
      <c r="G7" s="24" t="inlineStr">
        <is>
          <t>WIP</t>
        </is>
      </c>
      <c r="H7" s="23" t="inlineStr">
        <is>
          <t>N/A</t>
        </is>
      </c>
      <c r="I7" s="21" t="inlineStr">
        <is>
          <t>store_master.active = LOC_CLOSED_IND — open with DE</t>
        </is>
      </c>
    </row>
    <row r="8">
      <c r="A8" s="21" t="inlineStr">
        <is>
          <t>1 — Build-script review</t>
        </is>
      </c>
      <c r="B8" s="21" t="inlineStr">
        <is>
          <t>S1.3</t>
        </is>
      </c>
      <c r="C8" s="21" t="inlineStr">
        <is>
          <t>String manipulation NULL-safety</t>
        </is>
      </c>
      <c r="D8" s="22" t="inlineStr">
        <is>
          <t>Done</t>
        </is>
      </c>
      <c r="E8" s="22" t="inlineStr">
        <is>
          <t>Done</t>
        </is>
      </c>
      <c r="F8" s="23" t="inlineStr">
        <is>
          <t>N/A</t>
        </is>
      </c>
      <c r="G8" s="22" t="inlineStr">
        <is>
          <t>Done</t>
        </is>
      </c>
      <c r="H8" s="23" t="inlineStr">
        <is>
          <t>N/A</t>
        </is>
      </c>
      <c r="I8" s="21" t="inlineStr">
        <is>
          <t>SPLIT/CONCAT sites reviewed</t>
        </is>
      </c>
    </row>
    <row r="9">
      <c r="A9" s="21" t="inlineStr">
        <is>
          <t>1 — Build-script review</t>
        </is>
      </c>
      <c r="B9" s="21" t="inlineStr">
        <is>
          <t>S1.4</t>
        </is>
      </c>
      <c r="C9" s="21" t="inlineStr">
        <is>
          <t>CTE aggregation semantics reviewed</t>
        </is>
      </c>
      <c r="D9" s="23" t="inlineStr">
        <is>
          <t>N/A</t>
        </is>
      </c>
      <c r="E9" s="24" t="inlineStr">
        <is>
          <t>WIP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N/A</t>
        </is>
      </c>
      <c r="I9" s="21" t="inlineStr">
        <is>
          <t>all_skus AS AVG(cost_price) — DE review</t>
        </is>
      </c>
    </row>
    <row r="10">
      <c r="A10" s="21" t="inlineStr">
        <is>
          <t>1 — Build-script review</t>
        </is>
      </c>
      <c r="B10" s="21" t="inlineStr">
        <is>
          <t>S1.5</t>
        </is>
      </c>
      <c r="C10" s="21" t="inlineStr">
        <is>
          <t>DISTINCT / GROUP BY usage justified</t>
        </is>
      </c>
      <c r="D10" s="22" t="inlineStr">
        <is>
          <t>Done</t>
        </is>
      </c>
      <c r="E10" s="24" t="inlineStr">
        <is>
          <t>WIP</t>
        </is>
      </c>
      <c r="F10" s="22" t="inlineStr">
        <is>
          <t>Done</t>
        </is>
      </c>
      <c r="G10" s="22" t="inlineStr">
        <is>
          <t>Done</t>
        </is>
      </c>
      <c r="H10" s="22" t="inlineStr">
        <is>
          <t>Done</t>
        </is>
      </c>
      <c r="I10" s="21" t="inlineStr">
        <is>
          <t>txn uses SELECT DISTINCT — 660K gap</t>
        </is>
      </c>
    </row>
    <row r="11">
      <c r="A11" s="21" t="inlineStr">
        <is>
          <t>1 — Build-script review</t>
        </is>
      </c>
      <c r="B11" s="21" t="inlineStr">
        <is>
          <t>S1.6</t>
        </is>
      </c>
      <c r="C11" s="21" t="inlineStr">
        <is>
          <t>Source-snapshot consistency across joins</t>
        </is>
      </c>
      <c r="D11" s="22" t="inlineStr">
        <is>
          <t>Done</t>
        </is>
      </c>
      <c r="E11" s="22" t="inlineStr">
        <is>
          <t>Done</t>
        </is>
      </c>
      <c r="F11" s="24" t="inlineStr">
        <is>
          <t>WIP</t>
        </is>
      </c>
      <c r="G11" s="22" t="inlineStr">
        <is>
          <t>Done</t>
        </is>
      </c>
      <c r="H11" s="22" t="inlineStr">
        <is>
          <t>Done</t>
        </is>
      </c>
      <c r="I11" s="21" t="inlineStr">
        <is>
          <t>inv joins non-suffixed pgh</t>
        </is>
      </c>
    </row>
    <row r="12">
      <c r="A12" s="21" t="inlineStr">
        <is>
          <t>1 — Build-script review</t>
        </is>
      </c>
      <c r="B12" s="21" t="inlineStr">
        <is>
          <t>S1.7</t>
        </is>
      </c>
      <c r="C12" s="21" t="inlineStr">
        <is>
          <t>Partition &amp; cluster keys aligned with queries</t>
        </is>
      </c>
      <c r="D12" s="23" t="inlineStr">
        <is>
          <t>N/A</t>
        </is>
      </c>
      <c r="E12" s="23" t="inlineStr">
        <is>
          <t>N/A</t>
        </is>
      </c>
      <c r="F12" s="22" t="inlineStr">
        <is>
          <t>Done</t>
        </is>
      </c>
      <c r="G12" s="23" t="inlineStr">
        <is>
          <t>N/A</t>
        </is>
      </c>
      <c r="H12" s="23" t="inlineStr">
        <is>
          <t>N/A</t>
        </is>
      </c>
      <c r="I12" s="21" t="inlineStr">
        <is>
          <t>inv PARTITION BY date, CLUSTER BY store_code</t>
        </is>
      </c>
    </row>
    <row r="13">
      <c r="A13" s="21" t="inlineStr">
        <is>
          <t>2 — Global G1–G6</t>
        </is>
      </c>
      <c r="B13" s="21" t="inlineStr">
        <is>
          <t>G1</t>
        </is>
      </c>
      <c r="C13" s="21" t="inlineStr">
        <is>
          <t>Total row count</t>
        </is>
      </c>
      <c r="D13" s="22" t="inlineStr">
        <is>
          <t>Done</t>
        </is>
      </c>
      <c r="E13" s="22" t="inlineStr">
        <is>
          <t>Done</t>
        </is>
      </c>
      <c r="F13" s="22" t="inlineStr">
        <is>
          <t>Done</t>
        </is>
      </c>
      <c r="G13" s="22" t="inlineStr">
        <is>
          <t>Done</t>
        </is>
      </c>
      <c r="H13" s="22" t="inlineStr">
        <is>
          <t>Done</t>
        </is>
      </c>
      <c r="I13" s="21" t="inlineStr">
        <is>
          <t>consolidated_p0_p1_issues.md</t>
        </is>
      </c>
    </row>
    <row r="14">
      <c r="A14" s="21" t="inlineStr">
        <is>
          <t>2 — Global G1–G6</t>
        </is>
      </c>
      <c r="B14" s="21" t="inlineStr">
        <is>
          <t>G2</t>
        </is>
      </c>
      <c r="C14" s="21" t="inlineStr">
        <is>
          <t>Column-level data dictionary</t>
        </is>
      </c>
      <c r="D14" s="22" t="inlineStr">
        <is>
          <t>Done</t>
        </is>
      </c>
      <c r="E14" s="22" t="inlineStr">
        <is>
          <t>Done</t>
        </is>
      </c>
      <c r="F14" s="22" t="inlineStr">
        <is>
          <t>Done</t>
        </is>
      </c>
      <c r="G14" s="22" t="inlineStr">
        <is>
          <t>Done</t>
        </is>
      </c>
      <c r="H14" s="22" t="inlineStr">
        <is>
          <t>Done</t>
        </is>
      </c>
      <c r="I14" s="21" t="inlineStr">
        <is>
          <t>schema_inventory.md + EDA files</t>
        </is>
      </c>
    </row>
    <row r="15">
      <c r="A15" s="21" t="inlineStr">
        <is>
          <t>2 — Global G1–G6</t>
        </is>
      </c>
      <c r="B15" s="21" t="inlineStr">
        <is>
          <t>G3</t>
        </is>
      </c>
      <c r="C15" s="21" t="inlineStr">
        <is>
          <t>Null % per column + decision</t>
        </is>
      </c>
      <c r="D15" s="22" t="inlineStr">
        <is>
          <t>Done</t>
        </is>
      </c>
      <c r="E15" s="22" t="inlineStr">
        <is>
          <t>Done</t>
        </is>
      </c>
      <c r="F15" s="22" t="inlineStr">
        <is>
          <t>Done</t>
        </is>
      </c>
      <c r="G15" s="22" t="inlineStr">
        <is>
          <t>Done</t>
        </is>
      </c>
      <c r="H15" s="22" t="inlineStr">
        <is>
          <t>Done</t>
        </is>
      </c>
      <c r="I15" s="21" t="inlineStr">
        <is>
          <t>merged with S1.1</t>
        </is>
      </c>
    </row>
    <row r="16">
      <c r="A16" s="21" t="inlineStr">
        <is>
          <t>2 — Global G1–G6</t>
        </is>
      </c>
      <c r="B16" s="21" t="inlineStr">
        <is>
          <t>G4</t>
        </is>
      </c>
      <c r="C16" s="21" t="inlineStr">
        <is>
          <t>Outliers + categorical standardization</t>
        </is>
      </c>
      <c r="D16" s="22" t="inlineStr">
        <is>
          <t>Done</t>
        </is>
      </c>
      <c r="E16" s="22" t="inlineStr">
        <is>
          <t>Done</t>
        </is>
      </c>
      <c r="F16" s="22" t="inlineStr">
        <is>
          <t>Done</t>
        </is>
      </c>
      <c r="G16" s="22" t="inlineStr">
        <is>
          <t>Done</t>
        </is>
      </c>
      <c r="H16" s="22" t="inlineStr">
        <is>
          <t>Done</t>
        </is>
      </c>
      <c r="I16" s="21" t="inlineStr">
        <is>
          <t>per-master EDA SQL</t>
        </is>
      </c>
    </row>
    <row r="17">
      <c r="A17" s="21" t="inlineStr">
        <is>
          <t>2 — Global G1–G6</t>
        </is>
      </c>
      <c r="B17" s="21" t="inlineStr">
        <is>
          <t>G5</t>
        </is>
      </c>
      <c r="C17" s="21" t="inlineStr">
        <is>
          <t>Grain confirmed by COUNT DISTINCT = COUNT(*)</t>
        </is>
      </c>
      <c r="D17" s="22" t="inlineStr">
        <is>
          <t>Done</t>
        </is>
      </c>
      <c r="E17" s="22" t="inlineStr">
        <is>
          <t>Done</t>
        </is>
      </c>
      <c r="F17" s="22" t="inlineStr">
        <is>
          <t>Done</t>
        </is>
      </c>
      <c r="G17" s="22" t="inlineStr">
        <is>
          <t>Done</t>
        </is>
      </c>
      <c r="H17" s="22" t="inlineStr">
        <is>
          <t>Done</t>
        </is>
      </c>
      <c r="I17" s="21" t="inlineStr">
        <is>
          <t>EDA Q1/Q2</t>
        </is>
      </c>
    </row>
    <row r="18">
      <c r="A18" s="21" t="inlineStr">
        <is>
          <t>2 — Global G1–G6</t>
        </is>
      </c>
      <c r="B18" s="21" t="inlineStr">
        <is>
          <t>G6</t>
        </is>
      </c>
      <c r="C18" s="21" t="inlineStr">
        <is>
          <t>Row-level duplicate check</t>
        </is>
      </c>
      <c r="D18" s="22" t="inlineStr">
        <is>
          <t>Done</t>
        </is>
      </c>
      <c r="E18" s="22" t="inlineStr">
        <is>
          <t>Done</t>
        </is>
      </c>
      <c r="F18" s="22" t="inlineStr">
        <is>
          <t>Done</t>
        </is>
      </c>
      <c r="G18" s="22" t="inlineStr">
        <is>
          <t>Done</t>
        </is>
      </c>
      <c r="H18" s="22" t="inlineStr">
        <is>
          <t>Done</t>
        </is>
      </c>
      <c r="I18" s="21" t="inlineStr">
        <is>
          <t>txn has 660K near-dupes</t>
        </is>
      </c>
    </row>
    <row r="19">
      <c r="A19" s="21" t="inlineStr">
        <is>
          <t>3A — Transaction</t>
        </is>
      </c>
      <c r="B19" s="21" t="inlineStr">
        <is>
          <t>T1</t>
        </is>
      </c>
      <c r="C19" s="21" t="inlineStr">
        <is>
          <t>Classify txns by type (qty / fulfilment / shipping / channel)</t>
        </is>
      </c>
      <c r="D19" s="21" t="inlineStr">
        <is>
          <t>-</t>
        </is>
      </c>
      <c r="E19" s="25" t="inlineStr">
        <is>
          <t>Open</t>
        </is>
      </c>
      <c r="F19" s="21" t="inlineStr">
        <is>
          <t>-</t>
        </is>
      </c>
      <c r="G19" s="21" t="inlineStr">
        <is>
          <t>-</t>
        </is>
      </c>
      <c r="H19" s="21" t="inlineStr">
        <is>
          <t>-</t>
        </is>
      </c>
      <c r="I19" s="21" t="inlineStr">
        <is>
          <t>transaction_type / order_type hardcoded NULL</t>
        </is>
      </c>
    </row>
    <row r="20">
      <c r="A20" s="21" t="inlineStr">
        <is>
          <t>3A — Transaction</t>
        </is>
      </c>
      <c r="B20" s="21" t="inlineStr">
        <is>
          <t>T2</t>
        </is>
      </c>
      <c r="C20" s="21" t="inlineStr">
        <is>
          <t>Qty &gt; 0 when Retail/Cost Price = 0/null</t>
        </is>
      </c>
      <c r="D20" s="21" t="inlineStr">
        <is>
          <t>-</t>
        </is>
      </c>
      <c r="E20" s="22" t="inlineStr">
        <is>
          <t>Done</t>
        </is>
      </c>
      <c r="F20" s="21" t="inlineStr">
        <is>
          <t>-</t>
        </is>
      </c>
      <c r="G20" s="21" t="inlineStr">
        <is>
          <t>-</t>
        </is>
      </c>
      <c r="H20" s="21" t="inlineStr">
        <is>
          <t>-</t>
        </is>
      </c>
      <c r="I20" s="21" t="inlineStr">
        <is>
          <t>cost=0 for ~54% of rows</t>
        </is>
      </c>
    </row>
    <row r="21">
      <c r="A21" s="21" t="inlineStr">
        <is>
          <t>3A — Transaction</t>
        </is>
      </c>
      <c r="B21" s="21" t="inlineStr">
        <is>
          <t>T3</t>
        </is>
      </c>
      <c r="C21" s="21" t="inlineStr">
        <is>
          <t>Qty &gt; 0 when Net Selling Price = 0/null</t>
        </is>
      </c>
      <c r="D21" s="21" t="inlineStr">
        <is>
          <t>-</t>
        </is>
      </c>
      <c r="E21" s="22" t="inlineStr">
        <is>
          <t>Done</t>
        </is>
      </c>
      <c r="F21" s="21" t="inlineStr">
        <is>
          <t>-</t>
        </is>
      </c>
      <c r="G21" s="21" t="inlineStr">
        <is>
          <t>-</t>
        </is>
      </c>
      <c r="H21" s="21" t="inlineStr">
        <is>
          <t>-</t>
        </is>
      </c>
      <c r="I21" s="21" t="inlineStr">
        <is>
          <t>flagged</t>
        </is>
      </c>
    </row>
    <row r="22">
      <c r="A22" s="21" t="inlineStr">
        <is>
          <t>3A — Transaction</t>
        </is>
      </c>
      <c r="B22" s="21" t="inlineStr">
        <is>
          <t>T4</t>
        </is>
      </c>
      <c r="C22" s="21" t="inlineStr">
        <is>
          <t>Discount &gt; 0 with Qty &gt; 0</t>
        </is>
      </c>
      <c r="D22" s="21" t="inlineStr">
        <is>
          <t>-</t>
        </is>
      </c>
      <c r="E22" s="25" t="inlineStr">
        <is>
          <t>Open</t>
        </is>
      </c>
      <c r="F22" s="21" t="inlineStr">
        <is>
          <t>-</t>
        </is>
      </c>
      <c r="G22" s="21" t="inlineStr">
        <is>
          <t>-</t>
        </is>
      </c>
      <c r="H22" s="21" t="inlineStr">
        <is>
          <t>-</t>
        </is>
      </c>
      <c r="I22" s="21" t="inlineStr">
        <is>
          <t>discount cols hardcoded 0</t>
        </is>
      </c>
    </row>
    <row r="23">
      <c r="A23" s="21" t="inlineStr">
        <is>
          <t>3A — Transaction</t>
        </is>
      </c>
      <c r="B23" s="21" t="inlineStr">
        <is>
          <t>T5</t>
        </is>
      </c>
      <c r="C23" s="21" t="inlineStr">
        <is>
          <t>Qty &lt; 0 but revenue &gt; 0</t>
        </is>
      </c>
      <c r="D23" s="21" t="inlineStr">
        <is>
          <t>-</t>
        </is>
      </c>
      <c r="E23" s="22" t="inlineStr">
        <is>
          <t>Done</t>
        </is>
      </c>
      <c r="F23" s="21" t="inlineStr">
        <is>
          <t>-</t>
        </is>
      </c>
      <c r="G23" s="21" t="inlineStr">
        <is>
          <t>-</t>
        </is>
      </c>
      <c r="H23" s="21" t="inlineStr">
        <is>
          <t>-</t>
        </is>
      </c>
      <c r="I23" s="21" t="inlineStr">
        <is>
          <t>returns flow</t>
        </is>
      </c>
    </row>
    <row r="24">
      <c r="A24" s="21" t="inlineStr">
        <is>
          <t>3A — Transaction</t>
        </is>
      </c>
      <c r="B24" s="21" t="inlineStr">
        <is>
          <t>T6</t>
        </is>
      </c>
      <c r="C24" s="21" t="inlineStr">
        <is>
          <t>Net Selling Price &lt; 0 for Qty &gt; 0</t>
        </is>
      </c>
      <c r="D24" s="21" t="inlineStr">
        <is>
          <t>-</t>
        </is>
      </c>
      <c r="E24" s="22" t="inlineStr">
        <is>
          <t>Done</t>
        </is>
      </c>
      <c r="F24" s="21" t="inlineStr">
        <is>
          <t>-</t>
        </is>
      </c>
      <c r="G24" s="21" t="inlineStr">
        <is>
          <t>-</t>
        </is>
      </c>
      <c r="H24" s="21" t="inlineStr">
        <is>
          <t>-</t>
        </is>
      </c>
      <c r="I24" s="21" t="inlineStr">
        <is>
          <t>D-series</t>
        </is>
      </c>
    </row>
    <row r="25">
      <c r="A25" s="21" t="inlineStr">
        <is>
          <t>3A — Transaction</t>
        </is>
      </c>
      <c r="B25" s="21" t="inlineStr">
        <is>
          <t>T7</t>
        </is>
      </c>
      <c r="C25" s="21" t="inlineStr">
        <is>
          <t>Discount amt not in sync with Retail/Net Sales</t>
        </is>
      </c>
      <c r="D25" s="21" t="inlineStr">
        <is>
          <t>-</t>
        </is>
      </c>
      <c r="E25" s="25" t="inlineStr">
        <is>
          <t>Open</t>
        </is>
      </c>
      <c r="F25" s="21" t="inlineStr">
        <is>
          <t>-</t>
        </is>
      </c>
      <c r="G25" s="21" t="inlineStr">
        <is>
          <t>-</t>
        </is>
      </c>
      <c r="H25" s="21" t="inlineStr">
        <is>
          <t>-</t>
        </is>
      </c>
      <c r="I25" s="21" t="inlineStr">
        <is>
          <t>disc hardcoded</t>
        </is>
      </c>
    </row>
    <row r="26">
      <c r="A26" s="21" t="inlineStr">
        <is>
          <t>3A — Transaction</t>
        </is>
      </c>
      <c r="B26" s="21" t="inlineStr">
        <is>
          <t>T8</t>
        </is>
      </c>
      <c r="C26" s="21" t="inlineStr">
        <is>
          <t>Discount Amt &gt; Retail Unit Price</t>
        </is>
      </c>
      <c r="D26" s="21" t="inlineStr">
        <is>
          <t>-</t>
        </is>
      </c>
      <c r="E26" s="25" t="inlineStr">
        <is>
          <t>Open</t>
        </is>
      </c>
      <c r="F26" s="21" t="inlineStr">
        <is>
          <t>-</t>
        </is>
      </c>
      <c r="G26" s="21" t="inlineStr">
        <is>
          <t>-</t>
        </is>
      </c>
      <c r="H26" s="21" t="inlineStr">
        <is>
          <t>-</t>
        </is>
      </c>
      <c r="I26" s="21" t="inlineStr">
        <is>
          <t>disc hardcoded</t>
        </is>
      </c>
    </row>
    <row r="27">
      <c r="A27" s="21" t="inlineStr">
        <is>
          <t>3A — Transaction</t>
        </is>
      </c>
      <c r="B27" s="21" t="inlineStr">
        <is>
          <t>T9</t>
        </is>
      </c>
      <c r="C27" s="21" t="inlineStr">
        <is>
          <t>Net Selling Price &lt; Cost Price (neg margin)</t>
        </is>
      </c>
      <c r="D27" s="21" t="inlineStr">
        <is>
          <t>-</t>
        </is>
      </c>
      <c r="E27" s="22" t="inlineStr">
        <is>
          <t>Done</t>
        </is>
      </c>
      <c r="F27" s="21" t="inlineStr">
        <is>
          <t>-</t>
        </is>
      </c>
      <c r="G27" s="21" t="inlineStr">
        <is>
          <t>-</t>
        </is>
      </c>
      <c r="H27" s="21" t="inlineStr">
        <is>
          <t>-</t>
        </is>
      </c>
      <c r="I27" s="21" t="inlineStr">
        <is>
          <t>distorted by cost=0</t>
        </is>
      </c>
    </row>
    <row r="28">
      <c r="A28" s="21" t="inlineStr">
        <is>
          <t>3A — Transaction</t>
        </is>
      </c>
      <c r="B28" s="21" t="inlineStr">
        <is>
          <t>T10</t>
        </is>
      </c>
      <c r="C28" s="21" t="inlineStr">
        <is>
          <t>Retail Price &lt; Cost Price with qty &gt; 0</t>
        </is>
      </c>
      <c r="D28" s="21" t="inlineStr">
        <is>
          <t>-</t>
        </is>
      </c>
      <c r="E28" s="22" t="inlineStr">
        <is>
          <t>Done</t>
        </is>
      </c>
      <c r="F28" s="21" t="inlineStr">
        <is>
          <t>-</t>
        </is>
      </c>
      <c r="G28" s="21" t="inlineStr">
        <is>
          <t>-</t>
        </is>
      </c>
      <c r="H28" s="21" t="inlineStr">
        <is>
          <t>-</t>
        </is>
      </c>
      <c r="I28" s="21" t="inlineStr">
        <is>
          <t>subset of T9</t>
        </is>
      </c>
    </row>
    <row r="29">
      <c r="A29" s="21" t="inlineStr">
        <is>
          <t>3A — Transaction</t>
        </is>
      </c>
      <c r="B29" s="21" t="inlineStr">
        <is>
          <t>T11</t>
        </is>
      </c>
      <c r="C29" s="21" t="inlineStr">
        <is>
          <t>NSP &gt; RUP with disc&lt;0 &amp; qty&gt;0</t>
        </is>
      </c>
      <c r="D29" s="21" t="inlineStr">
        <is>
          <t>-</t>
        </is>
      </c>
      <c r="E29" s="25" t="inlineStr">
        <is>
          <t>Open</t>
        </is>
      </c>
      <c r="F29" s="21" t="inlineStr">
        <is>
          <t>-</t>
        </is>
      </c>
      <c r="G29" s="21" t="inlineStr">
        <is>
          <t>-</t>
        </is>
      </c>
      <c r="H29" s="21" t="inlineStr">
        <is>
          <t>-</t>
        </is>
      </c>
      <c r="I29" s="21" t="inlineStr">
        <is>
          <t>disc hardcoded</t>
        </is>
      </c>
    </row>
    <row r="30">
      <c r="A30" s="21" t="inlineStr">
        <is>
          <t>3A — Transaction</t>
        </is>
      </c>
      <c r="B30" s="21" t="inlineStr">
        <is>
          <t>T12</t>
        </is>
      </c>
      <c r="C30" s="21" t="inlineStr">
        <is>
          <t>NSP &lt; RUP &amp; disc&gt;0 with qty&gt;0</t>
        </is>
      </c>
      <c r="D30" s="21" t="inlineStr">
        <is>
          <t>-</t>
        </is>
      </c>
      <c r="E30" s="25" t="inlineStr">
        <is>
          <t>Open</t>
        </is>
      </c>
      <c r="F30" s="21" t="inlineStr">
        <is>
          <t>-</t>
        </is>
      </c>
      <c r="G30" s="21" t="inlineStr">
        <is>
          <t>-</t>
        </is>
      </c>
      <c r="H30" s="21" t="inlineStr">
        <is>
          <t>-</t>
        </is>
      </c>
      <c r="I30" s="21" t="inlineStr">
        <is>
          <t>disc hardcoded</t>
        </is>
      </c>
    </row>
    <row r="31">
      <c r="A31" s="21" t="inlineStr">
        <is>
          <t>3A — Transaction</t>
        </is>
      </c>
      <c r="B31" s="21" t="inlineStr">
        <is>
          <t>T13</t>
        </is>
      </c>
      <c r="C31" s="21" t="inlineStr">
        <is>
          <t>Multiple RUP for a SKU</t>
        </is>
      </c>
      <c r="D31" s="21" t="inlineStr">
        <is>
          <t>-</t>
        </is>
      </c>
      <c r="E31" s="24" t="inlineStr">
        <is>
          <t>WIP</t>
        </is>
      </c>
      <c r="F31" s="21" t="inlineStr">
        <is>
          <t>-</t>
        </is>
      </c>
      <c r="G31" s="21" t="inlineStr">
        <is>
          <t>-</t>
        </is>
      </c>
      <c r="H31" s="21" t="inlineStr">
        <is>
          <t>-</t>
        </is>
      </c>
      <c r="I31" s="21" t="inlineStr">
        <is>
          <t>price variation — partial</t>
        </is>
      </c>
    </row>
    <row r="32">
      <c r="A32" s="21" t="inlineStr">
        <is>
          <t>3A — Transaction</t>
        </is>
      </c>
      <c r="B32" s="21" t="inlineStr">
        <is>
          <t>T14</t>
        </is>
      </c>
      <c r="C32" s="21" t="inlineStr">
        <is>
          <t>Multiple RUP for SKU-Date</t>
        </is>
      </c>
      <c r="D32" s="21" t="inlineStr">
        <is>
          <t>-</t>
        </is>
      </c>
      <c r="E32" s="25" t="inlineStr">
        <is>
          <t>Open</t>
        </is>
      </c>
      <c r="F32" s="21" t="inlineStr">
        <is>
          <t>-</t>
        </is>
      </c>
      <c r="G32" s="21" t="inlineStr">
        <is>
          <t>-</t>
        </is>
      </c>
      <c r="H32" s="21" t="inlineStr">
        <is>
          <t>-</t>
        </is>
      </c>
      <c r="I32" s="21" t="inlineStr">
        <is>
          <t>not yet run</t>
        </is>
      </c>
    </row>
    <row r="33">
      <c r="A33" s="21" t="inlineStr">
        <is>
          <t>3A — Transaction</t>
        </is>
      </c>
      <c r="B33" s="21" t="inlineStr">
        <is>
          <t>T15</t>
        </is>
      </c>
      <c r="C33" s="21" t="inlineStr">
        <is>
          <t>Multiple RUP for SKU-Store-Date</t>
        </is>
      </c>
      <c r="D33" s="21" t="inlineStr">
        <is>
          <t>-</t>
        </is>
      </c>
      <c r="E33" s="25" t="inlineStr">
        <is>
          <t>Open</t>
        </is>
      </c>
      <c r="F33" s="21" t="inlineStr">
        <is>
          <t>-</t>
        </is>
      </c>
      <c r="G33" s="21" t="inlineStr">
        <is>
          <t>-</t>
        </is>
      </c>
      <c r="H33" s="21" t="inlineStr">
        <is>
          <t>-</t>
        </is>
      </c>
      <c r="I33" s="21" t="inlineStr">
        <is>
          <t>not yet run</t>
        </is>
      </c>
    </row>
    <row r="34">
      <c r="A34" s="21" t="inlineStr">
        <is>
          <t>3A — Transaction</t>
        </is>
      </c>
      <c r="B34" s="21" t="inlineStr">
        <is>
          <t>T16</t>
        </is>
      </c>
      <c r="C34" s="21" t="inlineStr">
        <is>
          <t>Range (min/max/stddev) of RUP for SKUs</t>
        </is>
      </c>
      <c r="D34" s="21" t="inlineStr">
        <is>
          <t>-</t>
        </is>
      </c>
      <c r="E34" s="22" t="inlineStr">
        <is>
          <t>Done</t>
        </is>
      </c>
      <c r="F34" s="21" t="inlineStr">
        <is>
          <t>-</t>
        </is>
      </c>
      <c r="G34" s="21" t="inlineStr">
        <is>
          <t>-</t>
        </is>
      </c>
      <c r="H34" s="21" t="inlineStr">
        <is>
          <t>-</t>
        </is>
      </c>
      <c r="I34" s="21" t="inlineStr">
        <is>
          <t>D-series</t>
        </is>
      </c>
    </row>
    <row r="35">
      <c r="A35" s="21" t="inlineStr">
        <is>
          <t>3A — Transaction</t>
        </is>
      </c>
      <c r="B35" s="21" t="inlineStr">
        <is>
          <t>T17</t>
        </is>
      </c>
      <c r="C35" s="21" t="inlineStr">
        <is>
          <t>Range (min/max/stddev) of Disc % for SKUs</t>
        </is>
      </c>
      <c r="D35" s="21" t="inlineStr">
        <is>
          <t>-</t>
        </is>
      </c>
      <c r="E35" s="25" t="inlineStr">
        <is>
          <t>Open</t>
        </is>
      </c>
      <c r="F35" s="21" t="inlineStr">
        <is>
          <t>-</t>
        </is>
      </c>
      <c r="G35" s="21" t="inlineStr">
        <is>
          <t>-</t>
        </is>
      </c>
      <c r="H35" s="21" t="inlineStr">
        <is>
          <t>-</t>
        </is>
      </c>
      <c r="I35" s="21" t="inlineStr">
        <is>
          <t>disc hardcoded</t>
        </is>
      </c>
    </row>
    <row r="36">
      <c r="A36" s="21" t="inlineStr">
        <is>
          <t>3A — Transaction</t>
        </is>
      </c>
      <c r="B36" s="21" t="inlineStr">
        <is>
          <t>T18</t>
        </is>
      </c>
      <c r="C36" s="21" t="inlineStr">
        <is>
          <t>Min &amp; max txn date</t>
        </is>
      </c>
      <c r="D36" s="21" t="inlineStr">
        <is>
          <t>-</t>
        </is>
      </c>
      <c r="E36" s="22" t="inlineStr">
        <is>
          <t>Done</t>
        </is>
      </c>
      <c r="F36" s="21" t="inlineStr">
        <is>
          <t>-</t>
        </is>
      </c>
      <c r="G36" s="21" t="inlineStr">
        <is>
          <t>-</t>
        </is>
      </c>
      <c r="H36" s="21" t="inlineStr">
        <is>
          <t>-</t>
        </is>
      </c>
      <c r="I36" s="21" t="inlineStr">
        <is>
          <t>4 years confirmed</t>
        </is>
      </c>
    </row>
    <row r="37">
      <c r="A37" s="21" t="inlineStr">
        <is>
          <t>3A — Transaction</t>
        </is>
      </c>
      <c r="B37" s="21" t="inlineStr">
        <is>
          <t>T19</t>
        </is>
      </c>
      <c r="C37" s="21" t="inlineStr">
        <is>
          <t>Distribution of qty_sold</t>
        </is>
      </c>
      <c r="D37" s="21" t="inlineStr">
        <is>
          <t>-</t>
        </is>
      </c>
      <c r="E37" s="22" t="inlineStr">
        <is>
          <t>Done</t>
        </is>
      </c>
      <c r="F37" s="21" t="inlineStr">
        <is>
          <t>-</t>
        </is>
      </c>
      <c r="G37" s="21" t="inlineStr">
        <is>
          <t>-</t>
        </is>
      </c>
      <c r="H37" s="21" t="inlineStr">
        <is>
          <t>-</t>
        </is>
      </c>
      <c r="I37" s="21" t="inlineStr">
        <is>
          <t>D-series histogram</t>
        </is>
      </c>
    </row>
    <row r="38">
      <c r="A38" s="21" t="inlineStr">
        <is>
          <t>3A — Transaction</t>
        </is>
      </c>
      <c r="B38" s="21" t="inlineStr">
        <is>
          <t>T20</t>
        </is>
      </c>
      <c r="C38" s="21" t="inlineStr">
        <is>
          <t>Missing dates in txn master</t>
        </is>
      </c>
      <c r="D38" s="21" t="inlineStr">
        <is>
          <t>-</t>
        </is>
      </c>
      <c r="E38" s="22" t="inlineStr">
        <is>
          <t>Done</t>
        </is>
      </c>
      <c r="F38" s="21" t="inlineStr">
        <is>
          <t>-</t>
        </is>
      </c>
      <c r="G38" s="21" t="inlineStr">
        <is>
          <t>-</t>
        </is>
      </c>
      <c r="H38" s="21" t="inlineStr">
        <is>
          <t>-</t>
        </is>
      </c>
      <c r="I38" s="21" t="inlineStr">
        <is>
          <t>no gaps</t>
        </is>
      </c>
    </row>
    <row r="39">
      <c r="A39" s="21" t="inlineStr">
        <is>
          <t>3A — Transaction</t>
        </is>
      </c>
      <c r="B39" s="21" t="inlineStr">
        <is>
          <t>T21</t>
        </is>
      </c>
      <c r="C39" s="21" t="inlineStr">
        <is>
          <t>CLEARANCE_IND spread</t>
        </is>
      </c>
      <c r="D39" s="21" t="inlineStr">
        <is>
          <t>-</t>
        </is>
      </c>
      <c r="E39" s="25" t="inlineStr">
        <is>
          <t>Open</t>
        </is>
      </c>
      <c r="F39" s="21" t="inlineStr">
        <is>
          <t>-</t>
        </is>
      </c>
      <c r="G39" s="21" t="inlineStr">
        <is>
          <t>-</t>
        </is>
      </c>
      <c r="H39" s="21" t="inlineStr">
        <is>
          <t>-</t>
        </is>
      </c>
      <c r="I39" s="21" t="inlineStr">
        <is>
          <t>clearance hardcoded 0</t>
        </is>
      </c>
    </row>
    <row r="40">
      <c r="A40" s="21" t="inlineStr">
        <is>
          <t>3A — Transaction</t>
        </is>
      </c>
      <c r="B40" s="21" t="inlineStr">
        <is>
          <t>T22</t>
        </is>
      </c>
      <c r="C40" s="21" t="inlineStr">
        <is>
          <t>Multi-currency</t>
        </is>
      </c>
      <c r="D40" s="21" t="inlineStr">
        <is>
          <t>-</t>
        </is>
      </c>
      <c r="E40" s="25" t="inlineStr">
        <is>
          <t>Open</t>
        </is>
      </c>
      <c r="F40" s="21" t="inlineStr">
        <is>
          <t>-</t>
        </is>
      </c>
      <c r="G40" s="21" t="inlineStr">
        <is>
          <t>-</t>
        </is>
      </c>
      <c r="H40" s="21" t="inlineStr">
        <is>
          <t>-</t>
        </is>
      </c>
      <c r="I40" s="21" t="inlineStr">
        <is>
          <t>currency_exchange_rate NULL</t>
        </is>
      </c>
    </row>
    <row r="41">
      <c r="A41" s="21" t="inlineStr">
        <is>
          <t>3A — Transaction</t>
        </is>
      </c>
      <c r="B41" s="21" t="inlineStr">
        <is>
          <t>T23</t>
        </is>
      </c>
      <c r="C41" s="21" t="inlineStr">
        <is>
          <t>SKUs in txn missing from product master</t>
        </is>
      </c>
      <c r="D41" s="21" t="inlineStr">
        <is>
          <t>-</t>
        </is>
      </c>
      <c r="E41" s="22" t="inlineStr">
        <is>
          <t>Done</t>
        </is>
      </c>
      <c r="F41" s="21" t="inlineStr">
        <is>
          <t>-</t>
        </is>
      </c>
      <c r="G41" s="21" t="inlineStr">
        <is>
          <t>-</t>
        </is>
      </c>
      <c r="H41" s="21" t="inlineStr">
        <is>
          <t>-</t>
        </is>
      </c>
      <c r="I41" s="21" t="inlineStr">
        <is>
          <t>cross-master integrity</t>
        </is>
      </c>
    </row>
    <row r="42">
      <c r="A42" s="21" t="inlineStr">
        <is>
          <t>3A — Transaction</t>
        </is>
      </c>
      <c r="B42" s="21" t="inlineStr">
        <is>
          <t>T24</t>
        </is>
      </c>
      <c r="C42" s="21" t="inlineStr">
        <is>
          <t>Multiple store_code at TransID-LineID</t>
        </is>
      </c>
      <c r="D42" s="21" t="inlineStr">
        <is>
          <t>-</t>
        </is>
      </c>
      <c r="E42" s="25" t="inlineStr">
        <is>
          <t>Open</t>
        </is>
      </c>
      <c r="F42" s="21" t="inlineStr">
        <is>
          <t>-</t>
        </is>
      </c>
      <c r="G42" s="21" t="inlineStr">
        <is>
          <t>-</t>
        </is>
      </c>
      <c r="H42" s="21" t="inlineStr">
        <is>
          <t>-</t>
        </is>
      </c>
      <c r="I42" s="21" t="inlineStr">
        <is>
          <t>not yet run</t>
        </is>
      </c>
    </row>
    <row r="43">
      <c r="A43" s="21" t="inlineStr">
        <is>
          <t>3A — Transaction</t>
        </is>
      </c>
      <c r="B43" s="21" t="inlineStr">
        <is>
          <t>T25</t>
        </is>
      </c>
      <c r="C43" s="21" t="inlineStr">
        <is>
          <t>Multiple SKU at TransID-LineID</t>
        </is>
      </c>
      <c r="D43" s="21" t="inlineStr">
        <is>
          <t>-</t>
        </is>
      </c>
      <c r="E43" s="25" t="inlineStr">
        <is>
          <t>Open</t>
        </is>
      </c>
      <c r="F43" s="21" t="inlineStr">
        <is>
          <t>-</t>
        </is>
      </c>
      <c r="G43" s="21" t="inlineStr">
        <is>
          <t>-</t>
        </is>
      </c>
      <c r="H43" s="21" t="inlineStr">
        <is>
          <t>-</t>
        </is>
      </c>
      <c r="I43" s="21" t="inlineStr">
        <is>
          <t>not yet run</t>
        </is>
      </c>
    </row>
    <row r="44">
      <c r="A44" s="21" t="inlineStr">
        <is>
          <t>3B — Product</t>
        </is>
      </c>
      <c r="B44" s="21" t="inlineStr">
        <is>
          <t>P1</t>
        </is>
      </c>
      <c r="C44" s="21" t="inlineStr">
        <is>
          <t>Active-flag source / fallback via recent txn</t>
        </is>
      </c>
      <c r="D44" s="24" t="inlineStr">
        <is>
          <t>WIP</t>
        </is>
      </c>
      <c r="E44" s="21" t="inlineStr">
        <is>
          <t>-</t>
        </is>
      </c>
      <c r="F44" s="21" t="inlineStr">
        <is>
          <t>-</t>
        </is>
      </c>
      <c r="G44" s="21" t="inlineStr">
        <is>
          <t>-</t>
        </is>
      </c>
      <c r="H44" s="21" t="inlineStr">
        <is>
          <t>-</t>
        </is>
      </c>
      <c r="I44" s="21" t="inlineStr">
        <is>
          <t>active_flag hardcoded; use flex_status</t>
        </is>
      </c>
    </row>
    <row r="45">
      <c r="A45" s="21" t="inlineStr">
        <is>
          <t>3B — Product</t>
        </is>
      </c>
      <c r="B45" s="21" t="inlineStr">
        <is>
          <t>P2</t>
        </is>
      </c>
      <c r="C45" s="21" t="inlineStr">
        <is>
          <t>Dept/Class/Subclass → one description each</t>
        </is>
      </c>
      <c r="D45" s="22" t="inlineStr">
        <is>
          <t>Done</t>
        </is>
      </c>
      <c r="E45" s="21" t="inlineStr">
        <is>
          <t>-</t>
        </is>
      </c>
      <c r="F45" s="21" t="inlineStr">
        <is>
          <t>-</t>
        </is>
      </c>
      <c r="G45" s="21" t="inlineStr">
        <is>
          <t>-</t>
        </is>
      </c>
      <c r="H45" s="21" t="inlineStr">
        <is>
          <t>-</t>
        </is>
      </c>
      <c r="I45" s="21" t="inlineStr">
        <is>
          <t>hierarchy integrity</t>
        </is>
      </c>
    </row>
    <row r="46">
      <c r="A46" s="21" t="inlineStr">
        <is>
          <t>3B — Product</t>
        </is>
      </c>
      <c r="B46" s="21" t="inlineStr">
        <is>
          <t>P3</t>
        </is>
      </c>
      <c r="C46" s="21" t="inlineStr">
        <is>
          <t>Sub-SKUs in txn (retail) present in PM</t>
        </is>
      </c>
      <c r="D46" s="22" t="inlineStr">
        <is>
          <t>Done</t>
        </is>
      </c>
      <c r="E46" s="21" t="inlineStr">
        <is>
          <t>-</t>
        </is>
      </c>
      <c r="F46" s="21" t="inlineStr">
        <is>
          <t>-</t>
        </is>
      </c>
      <c r="G46" s="21" t="inlineStr">
        <is>
          <t>-</t>
        </is>
      </c>
      <c r="H46" s="21" t="inlineStr">
        <is>
          <t>-</t>
        </is>
      </c>
      <c r="I46" s="21" t="inlineStr">
        <is>
          <t>coverage</t>
        </is>
      </c>
    </row>
    <row r="47">
      <c r="A47" s="21" t="inlineStr">
        <is>
          <t>3B — Product</t>
        </is>
      </c>
      <c r="B47" s="21" t="inlineStr">
        <is>
          <t>P4</t>
        </is>
      </c>
      <c r="C47" s="21" t="inlineStr">
        <is>
          <t>Sub-SKUs in txn (outlet) present in PM</t>
        </is>
      </c>
      <c r="D47" s="22" t="inlineStr">
        <is>
          <t>Done</t>
        </is>
      </c>
      <c r="E47" s="21" t="inlineStr">
        <is>
          <t>-</t>
        </is>
      </c>
      <c r="F47" s="21" t="inlineStr">
        <is>
          <t>-</t>
        </is>
      </c>
      <c r="G47" s="21" t="inlineStr">
        <is>
          <t>-</t>
        </is>
      </c>
      <c r="H47" s="21" t="inlineStr">
        <is>
          <t>-</t>
        </is>
      </c>
      <c r="I47" s="21" t="inlineStr">
        <is>
          <t>coverage</t>
        </is>
      </c>
    </row>
    <row r="48">
      <c r="A48" s="21" t="inlineStr">
        <is>
          <t>3B — Product</t>
        </is>
      </c>
      <c r="B48" s="21" t="inlineStr">
        <is>
          <t>P5</t>
        </is>
      </c>
      <c r="C48" s="21" t="inlineStr">
        <is>
          <t>Sub-SKUs in txn (ECom) present in PM</t>
        </is>
      </c>
      <c r="D48" s="22" t="inlineStr">
        <is>
          <t>Done</t>
        </is>
      </c>
      <c r="E48" s="21" t="inlineStr">
        <is>
          <t>-</t>
        </is>
      </c>
      <c r="F48" s="21" t="inlineStr">
        <is>
          <t>-</t>
        </is>
      </c>
      <c r="G48" s="21" t="inlineStr">
        <is>
          <t>-</t>
        </is>
      </c>
      <c r="H48" s="21" t="inlineStr">
        <is>
          <t>-</t>
        </is>
      </c>
      <c r="I48" s="21" t="inlineStr">
        <is>
          <t>coverage</t>
        </is>
      </c>
    </row>
    <row r="49">
      <c r="A49" s="21" t="inlineStr">
        <is>
          <t>3B — Product</t>
        </is>
      </c>
      <c r="B49" s="21" t="inlineStr">
        <is>
          <t>P6</t>
        </is>
      </c>
      <c r="C49" s="21" t="inlineStr">
        <is>
          <t>Duplicates at attribute level for Sub-SKU</t>
        </is>
      </c>
      <c r="D49" s="25" t="inlineStr">
        <is>
          <t>Open</t>
        </is>
      </c>
      <c r="E49" s="21" t="inlineStr">
        <is>
          <t>-</t>
        </is>
      </c>
      <c r="F49" s="21" t="inlineStr">
        <is>
          <t>-</t>
        </is>
      </c>
      <c r="G49" s="21" t="inlineStr">
        <is>
          <t>-</t>
        </is>
      </c>
      <c r="H49" s="21" t="inlineStr">
        <is>
          <t>-</t>
        </is>
      </c>
      <c r="I49" s="21" t="inlineStr">
        <is>
          <t>not yet run</t>
        </is>
      </c>
    </row>
    <row r="50">
      <c r="A50" s="21" t="inlineStr">
        <is>
          <t>3B — Product</t>
        </is>
      </c>
      <c r="B50" s="21" t="inlineStr">
        <is>
          <t>P7</t>
        </is>
      </c>
      <c r="C50" s="21" t="inlineStr">
        <is>
          <t>Sub-SKU in inv present in PM</t>
        </is>
      </c>
      <c r="D50" s="22" t="inlineStr">
        <is>
          <t>Done</t>
        </is>
      </c>
      <c r="E50" s="21" t="inlineStr">
        <is>
          <t>-</t>
        </is>
      </c>
      <c r="F50" s="21" t="inlineStr">
        <is>
          <t>-</t>
        </is>
      </c>
      <c r="G50" s="21" t="inlineStr">
        <is>
          <t>-</t>
        </is>
      </c>
      <c r="H50" s="21" t="inlineStr">
        <is>
          <t>-</t>
        </is>
      </c>
      <c r="I50" s="21" t="inlineStr">
        <is>
          <t>23,782 PM SKUs not in inv</t>
        </is>
      </c>
    </row>
    <row r="51">
      <c r="A51" s="21" t="inlineStr">
        <is>
          <t>3B — Product</t>
        </is>
      </c>
      <c r="B51" s="21" t="inlineStr">
        <is>
          <t>P8</t>
        </is>
      </c>
      <c r="C51" s="21" t="inlineStr">
        <is>
          <t>Multi-currency</t>
        </is>
      </c>
      <c r="D51" s="23" t="inlineStr">
        <is>
          <t>N/A</t>
        </is>
      </c>
      <c r="E51" s="21" t="inlineStr">
        <is>
          <t>-</t>
        </is>
      </c>
      <c r="F51" s="21" t="inlineStr">
        <is>
          <t>-</t>
        </is>
      </c>
      <c r="G51" s="21" t="inlineStr">
        <is>
          <t>-</t>
        </is>
      </c>
      <c r="H51" s="21" t="inlineStr">
        <is>
          <t>-</t>
        </is>
      </c>
      <c r="I51" s="21" t="inlineStr">
        <is>
          <t>out-of-scope for PM</t>
        </is>
      </c>
    </row>
    <row r="52">
      <c r="A52" s="21" t="inlineStr">
        <is>
          <t>3B — Product</t>
        </is>
      </c>
      <c r="B52" s="21" t="inlineStr">
        <is>
          <t>P9</t>
        </is>
      </c>
      <c r="C52" s="21" t="inlineStr">
        <is>
          <t>1:1 hierarchy integrity</t>
        </is>
      </c>
      <c r="D52" s="22" t="inlineStr">
        <is>
          <t>Done</t>
        </is>
      </c>
      <c r="E52" s="21" t="inlineStr">
        <is>
          <t>-</t>
        </is>
      </c>
      <c r="F52" s="21" t="inlineStr">
        <is>
          <t>-</t>
        </is>
      </c>
      <c r="G52" s="21" t="inlineStr">
        <is>
          <t>-</t>
        </is>
      </c>
      <c r="H52" s="21" t="inlineStr">
        <is>
          <t>-</t>
        </is>
      </c>
      <c r="I52" s="21" t="inlineStr">
        <is>
          <t>hierarchy check done</t>
        </is>
      </c>
    </row>
    <row r="53">
      <c r="A53" s="21" t="inlineStr">
        <is>
          <t>3C — Inventory</t>
        </is>
      </c>
      <c r="B53" s="21" t="inlineStr">
        <is>
          <t>I1</t>
        </is>
      </c>
      <c r="C53" s="21" t="inlineStr">
        <is>
          <t>SKU in inv but not in txn (dead stock)</t>
        </is>
      </c>
      <c r="D53" s="21" t="inlineStr">
        <is>
          <t>-</t>
        </is>
      </c>
      <c r="E53" s="21" t="inlineStr">
        <is>
          <t>-</t>
        </is>
      </c>
      <c r="F53" s="22" t="inlineStr">
        <is>
          <t>Done</t>
        </is>
      </c>
      <c r="G53" s="21" t="inlineStr">
        <is>
          <t>-</t>
        </is>
      </c>
      <c r="H53" s="21" t="inlineStr">
        <is>
          <t>-</t>
        </is>
      </c>
      <c r="I53" s="21" t="inlineStr">
        <is>
          <t>cross-master</t>
        </is>
      </c>
    </row>
    <row r="54">
      <c r="A54" s="21" t="inlineStr">
        <is>
          <t>3C — Inventory</t>
        </is>
      </c>
      <c r="B54" s="21" t="inlineStr">
        <is>
          <t>I2</t>
        </is>
      </c>
      <c r="C54" s="21" t="inlineStr">
        <is>
          <t>SKU in txn but not in inv</t>
        </is>
      </c>
      <c r="D54" s="21" t="inlineStr">
        <is>
          <t>-</t>
        </is>
      </c>
      <c r="E54" s="21" t="inlineStr">
        <is>
          <t>-</t>
        </is>
      </c>
      <c r="F54" s="22" t="inlineStr">
        <is>
          <t>Done</t>
        </is>
      </c>
      <c r="G54" s="21" t="inlineStr">
        <is>
          <t>-</t>
        </is>
      </c>
      <c r="H54" s="21" t="inlineStr">
        <is>
          <t>-</t>
        </is>
      </c>
      <c r="I54" s="21" t="inlineStr">
        <is>
          <t>cross-master</t>
        </is>
      </c>
    </row>
    <row r="55">
      <c r="A55" s="21" t="inlineStr">
        <is>
          <t>3C — Inventory</t>
        </is>
      </c>
      <c r="B55" s="21" t="inlineStr">
        <is>
          <t>I3</t>
        </is>
      </c>
      <c r="C55" s="21" t="inlineStr">
        <is>
          <t>SKUs in inv not in PM</t>
        </is>
      </c>
      <c r="D55" s="21" t="inlineStr">
        <is>
          <t>-</t>
        </is>
      </c>
      <c r="E55" s="21" t="inlineStr">
        <is>
          <t>-</t>
        </is>
      </c>
      <c r="F55" s="22" t="inlineStr">
        <is>
          <t>Done</t>
        </is>
      </c>
      <c r="G55" s="21" t="inlineStr">
        <is>
          <t>-</t>
        </is>
      </c>
      <c r="H55" s="21" t="inlineStr">
        <is>
          <t>-</t>
        </is>
      </c>
      <c r="I55" s="21" t="inlineStr">
        <is>
          <t>cross-master</t>
        </is>
      </c>
    </row>
    <row r="56">
      <c r="A56" s="21" t="inlineStr">
        <is>
          <t>3C — Inventory</t>
        </is>
      </c>
      <c r="B56" s="21" t="inlineStr">
        <is>
          <t>I4</t>
        </is>
      </c>
      <c r="C56" s="21" t="inlineStr">
        <is>
          <t>Store in inv present in SM</t>
        </is>
      </c>
      <c r="D56" s="21" t="inlineStr">
        <is>
          <t>-</t>
        </is>
      </c>
      <c r="E56" s="21" t="inlineStr">
        <is>
          <t>-</t>
        </is>
      </c>
      <c r="F56" s="22" t="inlineStr">
        <is>
          <t>Done</t>
        </is>
      </c>
      <c r="G56" s="21" t="inlineStr">
        <is>
          <t>-</t>
        </is>
      </c>
      <c r="H56" s="21" t="inlineStr">
        <is>
          <t>-</t>
        </is>
      </c>
      <c r="I56" s="21" t="inlineStr">
        <is>
          <t>cross-master</t>
        </is>
      </c>
    </row>
    <row r="57">
      <c r="A57" s="21" t="inlineStr">
        <is>
          <t>3C — Inventory</t>
        </is>
      </c>
      <c r="B57" s="21" t="inlineStr">
        <is>
          <t>I5</t>
        </is>
      </c>
      <c r="C57" s="21" t="inlineStr">
        <is>
          <t>Inventory allocated to closed stores</t>
        </is>
      </c>
      <c r="D57" s="21" t="inlineStr">
        <is>
          <t>-</t>
        </is>
      </c>
      <c r="E57" s="21" t="inlineStr">
        <is>
          <t>-</t>
        </is>
      </c>
      <c r="F57" s="25" t="inlineStr">
        <is>
          <t>Open</t>
        </is>
      </c>
      <c r="G57" s="21" t="inlineStr">
        <is>
          <t>-</t>
        </is>
      </c>
      <c r="H57" s="21" t="inlineStr">
        <is>
          <t>-</t>
        </is>
      </c>
      <c r="I57" s="21" t="inlineStr">
        <is>
          <t>depends on S1.2 polarity</t>
        </is>
      </c>
    </row>
    <row r="58">
      <c r="A58" s="21" t="inlineStr">
        <is>
          <t>3C — Inventory</t>
        </is>
      </c>
      <c r="B58" s="21" t="inlineStr">
        <is>
          <t>I6</t>
        </is>
      </c>
      <c r="C58" s="21" t="inlineStr">
        <is>
          <t>On-hand &lt; 0</t>
        </is>
      </c>
      <c r="D58" s="21" t="inlineStr">
        <is>
          <t>-</t>
        </is>
      </c>
      <c r="E58" s="21" t="inlineStr">
        <is>
          <t>-</t>
        </is>
      </c>
      <c r="F58" s="22" t="inlineStr">
        <is>
          <t>Done</t>
        </is>
      </c>
      <c r="G58" s="21" t="inlineStr">
        <is>
          <t>-</t>
        </is>
      </c>
      <c r="H58" s="21" t="inlineStr">
        <is>
          <t>-</t>
        </is>
      </c>
      <c r="I58" s="21" t="inlineStr">
        <is>
          <t>P0 flag</t>
        </is>
      </c>
    </row>
    <row r="59">
      <c r="A59" s="21" t="inlineStr">
        <is>
          <t>3C — Inventory</t>
        </is>
      </c>
      <c r="B59" s="21" t="inlineStr">
        <is>
          <t>I7</t>
        </is>
      </c>
      <c r="C59" s="21" t="inlineStr">
        <is>
          <t>On-hand = 0</t>
        </is>
      </c>
      <c r="D59" s="21" t="inlineStr">
        <is>
          <t>-</t>
        </is>
      </c>
      <c r="E59" s="21" t="inlineStr">
        <is>
          <t>-</t>
        </is>
      </c>
      <c r="F59" s="22" t="inlineStr">
        <is>
          <t>Done</t>
        </is>
      </c>
      <c r="G59" s="21" t="inlineStr">
        <is>
          <t>-</t>
        </is>
      </c>
      <c r="H59" s="21" t="inlineStr">
        <is>
          <t>-</t>
        </is>
      </c>
      <c r="I59" s="21" t="inlineStr">
        <is>
          <t>zero-OH by channel</t>
        </is>
      </c>
    </row>
    <row r="60">
      <c r="A60" s="21" t="inlineStr">
        <is>
          <t>3C — Inventory</t>
        </is>
      </c>
      <c r="B60" s="21" t="inlineStr">
        <is>
          <t>I8</t>
        </is>
      </c>
      <c r="C60" s="21" t="inlineStr">
        <is>
          <t>Total DC count</t>
        </is>
      </c>
      <c r="D60" s="21" t="inlineStr">
        <is>
          <t>-</t>
        </is>
      </c>
      <c r="E60" s="21" t="inlineStr">
        <is>
          <t>-</t>
        </is>
      </c>
      <c r="F60" s="22" t="inlineStr">
        <is>
          <t>Done</t>
        </is>
      </c>
      <c r="G60" s="21" t="inlineStr">
        <is>
          <t>-</t>
        </is>
      </c>
      <c r="H60" s="21" t="inlineStr">
        <is>
          <t>-</t>
        </is>
      </c>
      <c r="I60" s="21" t="inlineStr">
        <is>
          <t>store audit</t>
        </is>
      </c>
    </row>
    <row r="61">
      <c r="A61" s="21" t="inlineStr">
        <is>
          <t>3C — Inventory</t>
        </is>
      </c>
      <c r="B61" s="21" t="inlineStr">
        <is>
          <t>I9</t>
        </is>
      </c>
      <c r="C61" s="21" t="inlineStr">
        <is>
          <t>DC min/max dates + DC OH</t>
        </is>
      </c>
      <c r="D61" s="21" t="inlineStr">
        <is>
          <t>-</t>
        </is>
      </c>
      <c r="E61" s="21" t="inlineStr">
        <is>
          <t>-</t>
        </is>
      </c>
      <c r="F61" s="24" t="inlineStr">
        <is>
          <t>WIP</t>
        </is>
      </c>
      <c r="G61" s="21" t="inlineStr">
        <is>
          <t>-</t>
        </is>
      </c>
      <c r="H61" s="21" t="inlineStr">
        <is>
          <t>-</t>
        </is>
      </c>
      <c r="I61" s="21" t="inlineStr">
        <is>
          <t>needs DC-specific slice</t>
        </is>
      </c>
    </row>
    <row r="62">
      <c r="A62" s="21" t="inlineStr">
        <is>
          <t>3C — Inventory</t>
        </is>
      </c>
      <c r="B62" s="21" t="inlineStr">
        <is>
          <t>I10</t>
        </is>
      </c>
      <c r="C62" s="21" t="inlineStr">
        <is>
          <t>Inv/txn overlap (flow check)</t>
        </is>
      </c>
      <c r="D62" s="21" t="inlineStr">
        <is>
          <t>-</t>
        </is>
      </c>
      <c r="E62" s="21" t="inlineStr">
        <is>
          <t>-</t>
        </is>
      </c>
      <c r="F62" s="25" t="inlineStr">
        <is>
          <t>Open</t>
        </is>
      </c>
      <c r="G62" s="21" t="inlineStr">
        <is>
          <t>-</t>
        </is>
      </c>
      <c r="H62" s="21" t="inlineStr">
        <is>
          <t>-</t>
        </is>
      </c>
      <c r="I62" s="21" t="inlineStr">
        <is>
          <t>SKU-store-date join not yet run</t>
        </is>
      </c>
    </row>
    <row r="63">
      <c r="A63" s="21" t="inlineStr">
        <is>
          <t>3C — Inventory</t>
        </is>
      </c>
      <c r="B63" s="21" t="inlineStr">
        <is>
          <t>I11</t>
        </is>
      </c>
      <c r="C63" s="21" t="inlineStr">
        <is>
          <t>Sales ≤ inventory per SKU-store-date</t>
        </is>
      </c>
      <c r="D63" s="21" t="inlineStr">
        <is>
          <t>-</t>
        </is>
      </c>
      <c r="E63" s="21" t="inlineStr">
        <is>
          <t>-</t>
        </is>
      </c>
      <c r="F63" s="25" t="inlineStr">
        <is>
          <t>Open</t>
        </is>
      </c>
      <c r="G63" s="21" t="inlineStr">
        <is>
          <t>-</t>
        </is>
      </c>
      <c r="H63" s="21" t="inlineStr">
        <is>
          <t>-</t>
        </is>
      </c>
      <c r="I63" s="21" t="inlineStr">
        <is>
          <t>CRITICAL for Sizesmart</t>
        </is>
      </c>
    </row>
    <row r="64">
      <c r="A64" s="21" t="inlineStr">
        <is>
          <t>3D — Store</t>
        </is>
      </c>
      <c r="B64" s="21" t="inlineStr">
        <is>
          <t>S1</t>
        </is>
      </c>
      <c r="C64" s="21" t="inlineStr">
        <is>
          <t>Store code format consistent</t>
        </is>
      </c>
      <c r="D64" s="21" t="inlineStr">
        <is>
          <t>-</t>
        </is>
      </c>
      <c r="E64" s="21" t="inlineStr">
        <is>
          <t>-</t>
        </is>
      </c>
      <c r="F64" s="21" t="inlineStr">
        <is>
          <t>-</t>
        </is>
      </c>
      <c r="G64" s="22" t="inlineStr">
        <is>
          <t>Done</t>
        </is>
      </c>
      <c r="H64" s="21" t="inlineStr">
        <is>
          <t>-</t>
        </is>
      </c>
      <c r="I64" s="21" t="inlineStr">
        <is>
          <t>location_audit.md</t>
        </is>
      </c>
    </row>
    <row r="65">
      <c r="A65" s="21" t="inlineStr">
        <is>
          <t>3D — Store</t>
        </is>
      </c>
      <c r="B65" s="21" t="inlineStr">
        <is>
          <t>S2</t>
        </is>
      </c>
      <c r="C65" s="21" t="inlineStr">
        <is>
          <t>Store IDs in txn present in SM</t>
        </is>
      </c>
      <c r="D65" s="21" t="inlineStr">
        <is>
          <t>-</t>
        </is>
      </c>
      <c r="E65" s="21" t="inlineStr">
        <is>
          <t>-</t>
        </is>
      </c>
      <c r="F65" s="21" t="inlineStr">
        <is>
          <t>-</t>
        </is>
      </c>
      <c r="G65" s="22" t="inlineStr">
        <is>
          <t>Done</t>
        </is>
      </c>
      <c r="H65" s="21" t="inlineStr">
        <is>
          <t>-</t>
        </is>
      </c>
      <c r="I65" s="21" t="inlineStr">
        <is>
          <t>location_audit.md</t>
        </is>
      </c>
    </row>
    <row r="66">
      <c r="A66" s="21" t="inlineStr">
        <is>
          <t>3D — Store</t>
        </is>
      </c>
      <c r="B66" s="21" t="inlineStr">
        <is>
          <t>S3</t>
        </is>
      </c>
      <c r="C66" s="21" t="inlineStr">
        <is>
          <t>Store IDs in inv present in SM</t>
        </is>
      </c>
      <c r="D66" s="21" t="inlineStr">
        <is>
          <t>-</t>
        </is>
      </c>
      <c r="E66" s="21" t="inlineStr">
        <is>
          <t>-</t>
        </is>
      </c>
      <c r="F66" s="21" t="inlineStr">
        <is>
          <t>-</t>
        </is>
      </c>
      <c r="G66" s="22" t="inlineStr">
        <is>
          <t>Done</t>
        </is>
      </c>
      <c r="H66" s="21" t="inlineStr">
        <is>
          <t>-</t>
        </is>
      </c>
      <c r="I66" s="21" t="inlineStr">
        <is>
          <t>location_audit.md</t>
        </is>
      </c>
    </row>
    <row r="67">
      <c r="A67" s="21" t="inlineStr">
        <is>
          <t>3D — Store</t>
        </is>
      </c>
      <c r="B67" s="21" t="inlineStr">
        <is>
          <t>S4</t>
        </is>
      </c>
      <c r="C67" s="21" t="inlineStr">
        <is>
          <t>Store count by channel</t>
        </is>
      </c>
      <c r="D67" s="21" t="inlineStr">
        <is>
          <t>-</t>
        </is>
      </c>
      <c r="E67" s="21" t="inlineStr">
        <is>
          <t>-</t>
        </is>
      </c>
      <c r="F67" s="21" t="inlineStr">
        <is>
          <t>-</t>
        </is>
      </c>
      <c r="G67" s="22" t="inlineStr">
        <is>
          <t>Done</t>
        </is>
      </c>
      <c r="H67" s="21" t="inlineStr">
        <is>
          <t>-</t>
        </is>
      </c>
      <c r="I67" s="21" t="inlineStr">
        <is>
          <t>location_audit.md</t>
        </is>
      </c>
    </row>
    <row r="68">
      <c r="A68" s="21" t="inlineStr">
        <is>
          <t>3D — Store</t>
        </is>
      </c>
      <c r="B68" s="21" t="inlineStr">
        <is>
          <t>S5</t>
        </is>
      </c>
      <c r="C68" s="21" t="inlineStr">
        <is>
          <t>Closed-date spread</t>
        </is>
      </c>
      <c r="D68" s="21" t="inlineStr">
        <is>
          <t>-</t>
        </is>
      </c>
      <c r="E68" s="21" t="inlineStr">
        <is>
          <t>-</t>
        </is>
      </c>
      <c r="F68" s="21" t="inlineStr">
        <is>
          <t>-</t>
        </is>
      </c>
      <c r="G68" s="22" t="inlineStr">
        <is>
          <t>Done</t>
        </is>
      </c>
      <c r="H68" s="21" t="inlineStr">
        <is>
          <t>-</t>
        </is>
      </c>
      <c r="I68" s="21" t="inlineStr">
        <is>
          <t>3 stores w/ close dates</t>
        </is>
      </c>
    </row>
    <row r="69">
      <c r="A69" s="21" t="inlineStr">
        <is>
          <t>3E — Fiscal</t>
        </is>
      </c>
      <c r="B69" s="21" t="inlineStr">
        <is>
          <t>F1</t>
        </is>
      </c>
      <c r="C69" s="21" t="inlineStr">
        <is>
          <t>Calendar continuity (no missing days)</t>
        </is>
      </c>
      <c r="D69" s="21" t="inlineStr">
        <is>
          <t>-</t>
        </is>
      </c>
      <c r="E69" s="21" t="inlineStr">
        <is>
          <t>-</t>
        </is>
      </c>
      <c r="F69" s="21" t="inlineStr">
        <is>
          <t>-</t>
        </is>
      </c>
      <c r="G69" s="21" t="inlineStr">
        <is>
          <t>-</t>
        </is>
      </c>
      <c r="H69" s="22" t="inlineStr">
        <is>
          <t>Done</t>
        </is>
      </c>
      <c r="I69" s="21" t="inlineStr">
        <is>
          <t>fiscal EDA Q1</t>
        </is>
      </c>
    </row>
    <row r="70">
      <c r="A70" s="21" t="inlineStr">
        <is>
          <t>3E — Fiscal</t>
        </is>
      </c>
      <c r="B70" s="21" t="inlineStr">
        <is>
          <t>F2</t>
        </is>
      </c>
      <c r="C70" s="21" t="inlineStr">
        <is>
          <t>Week/month/quarter/year hierarchy 1:1</t>
        </is>
      </c>
      <c r="D70" s="21" t="inlineStr">
        <is>
          <t>-</t>
        </is>
      </c>
      <c r="E70" s="21" t="inlineStr">
        <is>
          <t>-</t>
        </is>
      </c>
      <c r="F70" s="21" t="inlineStr">
        <is>
          <t>-</t>
        </is>
      </c>
      <c r="G70" s="21" t="inlineStr">
        <is>
          <t>-</t>
        </is>
      </c>
      <c r="H70" s="22" t="inlineStr">
        <is>
          <t>Done</t>
        </is>
      </c>
      <c r="I70" s="21" t="inlineStr">
        <is>
          <t>fiscal EDA Q2</t>
        </is>
      </c>
    </row>
    <row r="71">
      <c r="A71" s="21" t="inlineStr">
        <is>
          <t>3E — Fiscal</t>
        </is>
      </c>
      <c r="B71" s="21" t="inlineStr">
        <is>
          <t>F3</t>
        </is>
      </c>
      <c r="C71" s="21" t="inlineStr">
        <is>
          <t>Season coverage</t>
        </is>
      </c>
      <c r="D71" s="21" t="inlineStr">
        <is>
          <t>-</t>
        </is>
      </c>
      <c r="E71" s="21" t="inlineStr">
        <is>
          <t>-</t>
        </is>
      </c>
      <c r="F71" s="21" t="inlineStr">
        <is>
          <t>-</t>
        </is>
      </c>
      <c r="G71" s="21" t="inlineStr">
        <is>
          <t>-</t>
        </is>
      </c>
      <c r="H71" s="22" t="inlineStr">
        <is>
          <t>Done</t>
        </is>
      </c>
      <c r="I71" s="21" t="inlineStr">
        <is>
          <t>fiscal EDA Q3</t>
        </is>
      </c>
    </row>
    <row r="72">
      <c r="A72" s="21" t="inlineStr">
        <is>
          <t>3E — Fiscal</t>
        </is>
      </c>
      <c r="B72" s="21" t="inlineStr">
        <is>
          <t>F4</t>
        </is>
      </c>
      <c r="C72" s="21" t="inlineStr">
        <is>
          <t>Hardcoded NULL columns enumerated</t>
        </is>
      </c>
      <c r="D72" s="21" t="inlineStr">
        <is>
          <t>-</t>
        </is>
      </c>
      <c r="E72" s="21" t="inlineStr">
        <is>
          <t>-</t>
        </is>
      </c>
      <c r="F72" s="21" t="inlineStr">
        <is>
          <t>-</t>
        </is>
      </c>
      <c r="G72" s="21" t="inlineStr">
        <is>
          <t>-</t>
        </is>
      </c>
      <c r="H72" s="22" t="inlineStr">
        <is>
          <t>Done</t>
        </is>
      </c>
      <c r="I72" s="21" t="inlineStr">
        <is>
          <t>13 cols — build logic § 6</t>
        </is>
      </c>
    </row>
    <row r="73">
      <c r="A73" s="21" t="inlineStr">
        <is>
          <t>3E — Fiscal</t>
        </is>
      </c>
      <c r="B73" s="21" t="inlineStr">
        <is>
          <t>F5</t>
        </is>
      </c>
      <c r="C73" s="21" t="inlineStr">
        <is>
          <t>Prior-period window functions sanity check</t>
        </is>
      </c>
      <c r="D73" s="21" t="inlineStr">
        <is>
          <t>-</t>
        </is>
      </c>
      <c r="E73" s="21" t="inlineStr">
        <is>
          <t>-</t>
        </is>
      </c>
      <c r="F73" s="21" t="inlineStr">
        <is>
          <t>-</t>
        </is>
      </c>
      <c r="G73" s="21" t="inlineStr">
        <is>
          <t>-</t>
        </is>
      </c>
      <c r="H73" s="22" t="inlineStr">
        <is>
          <t>Done</t>
        </is>
      </c>
      <c r="I73" s="21" t="inlineStr">
        <is>
          <t>fiscal EDA Q4</t>
        </is>
      </c>
    </row>
    <row r="74">
      <c r="A74" s="21" t="inlineStr">
        <is>
          <t>3E — Fiscal</t>
        </is>
      </c>
      <c r="B74" s="21" t="inlineStr">
        <is>
          <t>F6</t>
        </is>
      </c>
      <c r="C74" s="21" t="inlineStr">
        <is>
          <t>Holiday/trend columns — populate plan</t>
        </is>
      </c>
      <c r="D74" s="21" t="inlineStr">
        <is>
          <t>-</t>
        </is>
      </c>
      <c r="E74" s="21" t="inlineStr">
        <is>
          <t>-</t>
        </is>
      </c>
      <c r="F74" s="21" t="inlineStr">
        <is>
          <t>-</t>
        </is>
      </c>
      <c r="G74" s="21" t="inlineStr">
        <is>
          <t>-</t>
        </is>
      </c>
      <c r="H74" s="25" t="inlineStr">
        <is>
          <t>Open</t>
        </is>
      </c>
      <c r="I74" s="21" t="inlineStr">
        <is>
          <t>business rules needed</t>
        </is>
      </c>
    </row>
    <row r="75">
      <c r="A75" s="21" t="inlineStr">
        <is>
          <t>4 — Lineage</t>
        </is>
      </c>
      <c r="B75" s="21" t="inlineStr">
        <is>
          <t>L1</t>
        </is>
      </c>
      <c r="C75" s="21" t="inlineStr">
        <is>
          <t>Raw → master column-level lineage diagram</t>
        </is>
      </c>
      <c r="D75" s="22" t="inlineStr">
        <is>
          <t>Done</t>
        </is>
      </c>
      <c r="E75" s="22" t="inlineStr">
        <is>
          <t>Done</t>
        </is>
      </c>
      <c r="F75" s="22" t="inlineStr">
        <is>
          <t>Done</t>
        </is>
      </c>
      <c r="G75" s="22" t="inlineStr">
        <is>
          <t>Done</t>
        </is>
      </c>
      <c r="H75" s="22" t="inlineStr">
        <is>
          <t>Done</t>
        </is>
      </c>
      <c r="I75" s="21" t="inlineStr">
        <is>
          <t>raw_to_master_lineage.md</t>
        </is>
      </c>
    </row>
    <row r="76">
      <c r="A76" s="21" t="inlineStr">
        <is>
          <t>4 — Lineage</t>
        </is>
      </c>
      <c r="B76" s="21" t="inlineStr">
        <is>
          <t>L2</t>
        </is>
      </c>
      <c r="C76" s="21" t="inlineStr">
        <is>
          <t>Column origin tagged (real/hardcoded/derived/dup/bug)</t>
        </is>
      </c>
      <c r="D76" s="22" t="inlineStr">
        <is>
          <t>Done</t>
        </is>
      </c>
      <c r="E76" s="22" t="inlineStr">
        <is>
          <t>Done</t>
        </is>
      </c>
      <c r="F76" s="22" t="inlineStr">
        <is>
          <t>Done</t>
        </is>
      </c>
      <c r="G76" s="22" t="inlineStr">
        <is>
          <t>Done</t>
        </is>
      </c>
      <c r="H76" s="22" t="inlineStr">
        <is>
          <t>Done</t>
        </is>
      </c>
      <c r="I76" s="21" t="inlineStr">
        <is>
          <t>column-origin tables</t>
        </is>
      </c>
    </row>
    <row r="77">
      <c r="A77" s="21" t="inlineStr">
        <is>
          <t>4 — Lineage</t>
        </is>
      </c>
      <c r="B77" s="21" t="inlineStr">
        <is>
          <t>L3</t>
        </is>
      </c>
      <c r="C77" s="21" t="inlineStr">
        <is>
          <t>Open questions tagged to owner</t>
        </is>
      </c>
      <c r="D77" s="22" t="inlineStr">
        <is>
          <t>Done</t>
        </is>
      </c>
      <c r="E77" s="22" t="inlineStr">
        <is>
          <t>Done</t>
        </is>
      </c>
      <c r="F77" s="22" t="inlineStr">
        <is>
          <t>Done</t>
        </is>
      </c>
      <c r="G77" s="22" t="inlineStr">
        <is>
          <t>Done</t>
        </is>
      </c>
      <c r="H77" s="22" t="inlineStr">
        <is>
          <t>Done</t>
        </is>
      </c>
      <c r="I77" s="21" t="inlineStr">
        <is>
          <t>Open Questions blocks per master</t>
        </is>
      </c>
    </row>
    <row r="78">
      <c r="A78" s="21" t="inlineStr">
        <is>
          <t>5A — Store EDA</t>
        </is>
      </c>
      <c r="B78" s="21" t="inlineStr">
        <is>
          <t>SD1</t>
        </is>
      </c>
      <c r="C78" s="21" t="inlineStr">
        <is>
          <t>SKU-Store-Date: qty_sold &gt; on-hand inv</t>
        </is>
      </c>
      <c r="D78" s="21" t="inlineStr">
        <is>
          <t>-</t>
        </is>
      </c>
      <c r="E78" s="21" t="inlineStr">
        <is>
          <t>-</t>
        </is>
      </c>
      <c r="F78" s="25" t="inlineStr">
        <is>
          <t>Open</t>
        </is>
      </c>
      <c r="G78" s="21" t="inlineStr">
        <is>
          <t>-</t>
        </is>
      </c>
      <c r="H78" s="21" t="inlineStr">
        <is>
          <t>-</t>
        </is>
      </c>
      <c r="I78" s="21" t="inlineStr">
        <is>
          <t>blocker for Sizesmart</t>
        </is>
      </c>
    </row>
    <row r="79">
      <c r="A79" s="21" t="inlineStr">
        <is>
          <t>5A — Store EDA</t>
        </is>
      </c>
      <c r="B79" s="21" t="inlineStr">
        <is>
          <t>SD2</t>
        </is>
      </c>
      <c r="C79" s="21" t="inlineStr">
        <is>
          <t>Sales pattern across H1 / Year</t>
        </is>
      </c>
      <c r="D79" s="21" t="inlineStr">
        <is>
          <t>-</t>
        </is>
      </c>
      <c r="E79" s="25" t="inlineStr">
        <is>
          <t>Open</t>
        </is>
      </c>
      <c r="F79" s="21" t="inlineStr">
        <is>
          <t>-</t>
        </is>
      </c>
      <c r="G79" s="21" t="inlineStr">
        <is>
          <t>-</t>
        </is>
      </c>
      <c r="H79" s="21" t="inlineStr">
        <is>
          <t>-</t>
        </is>
      </c>
      <c r="I79" s="21" t="inlineStr"/>
    </row>
    <row r="80">
      <c r="A80" s="21" t="inlineStr">
        <is>
          <t>5A — Store EDA</t>
        </is>
      </c>
      <c r="B80" s="21" t="inlineStr">
        <is>
          <t>SD3</t>
        </is>
      </c>
      <c r="C80" s="21" t="inlineStr">
        <is>
          <t>Sales pattern across Channel × Year</t>
        </is>
      </c>
      <c r="D80" s="21" t="inlineStr">
        <is>
          <t>-</t>
        </is>
      </c>
      <c r="E80" s="25" t="inlineStr">
        <is>
          <t>Open</t>
        </is>
      </c>
      <c r="F80" s="21" t="inlineStr">
        <is>
          <t>-</t>
        </is>
      </c>
      <c r="G80" s="21" t="inlineStr">
        <is>
          <t>-</t>
        </is>
      </c>
      <c r="H80" s="21" t="inlineStr">
        <is>
          <t>-</t>
        </is>
      </c>
      <c r="I80" s="21" t="inlineStr"/>
    </row>
    <row r="81">
      <c r="A81" s="21" t="inlineStr">
        <is>
          <t>5A — Store EDA</t>
        </is>
      </c>
      <c r="B81" s="21" t="inlineStr">
        <is>
          <t>SD4</t>
        </is>
      </c>
      <c r="C81" s="21" t="inlineStr">
        <is>
          <t>SKU count across H1</t>
        </is>
      </c>
      <c r="D81" s="21" t="inlineStr">
        <is>
          <t>-</t>
        </is>
      </c>
      <c r="E81" s="21" t="inlineStr">
        <is>
          <t>-</t>
        </is>
      </c>
      <c r="F81" s="21" t="inlineStr">
        <is>
          <t>-</t>
        </is>
      </c>
      <c r="G81" s="21" t="inlineStr">
        <is>
          <t>-</t>
        </is>
      </c>
      <c r="H81" s="21" t="inlineStr">
        <is>
          <t>-</t>
        </is>
      </c>
      <c r="I81" s="21" t="inlineStr">
        <is>
          <t>Open</t>
        </is>
      </c>
    </row>
    <row r="82">
      <c r="A82" s="21" t="inlineStr">
        <is>
          <t>5A — Store EDA</t>
        </is>
      </c>
      <c r="B82" s="21" t="inlineStr">
        <is>
          <t>SD5</t>
        </is>
      </c>
      <c r="C82" s="21" t="inlineStr">
        <is>
          <t>Revenue-based SKU classification (ABC)</t>
        </is>
      </c>
      <c r="D82" s="25" t="inlineStr">
        <is>
          <t>Open</t>
        </is>
      </c>
      <c r="E82" s="21" t="inlineStr">
        <is>
          <t>-</t>
        </is>
      </c>
      <c r="F82" s="21" t="inlineStr">
        <is>
          <t>-</t>
        </is>
      </c>
      <c r="G82" s="21" t="inlineStr">
        <is>
          <t>-</t>
        </is>
      </c>
      <c r="H82" s="21" t="inlineStr">
        <is>
          <t>-</t>
        </is>
      </c>
      <c r="I82" s="21" t="inlineStr"/>
    </row>
    <row r="83">
      <c r="A83" s="21" t="inlineStr">
        <is>
          <t>5A — Store EDA</t>
        </is>
      </c>
      <c r="B83" s="21" t="inlineStr">
        <is>
          <t>SD6</t>
        </is>
      </c>
      <c r="C83" s="21" t="inlineStr">
        <is>
          <t>Age-based SKU classification</t>
        </is>
      </c>
      <c r="D83" s="25" t="inlineStr">
        <is>
          <t>Open</t>
        </is>
      </c>
      <c r="E83" s="21" t="inlineStr">
        <is>
          <t>-</t>
        </is>
      </c>
      <c r="F83" s="21" t="inlineStr">
        <is>
          <t>-</t>
        </is>
      </c>
      <c r="G83" s="21" t="inlineStr">
        <is>
          <t>-</t>
        </is>
      </c>
      <c r="H83" s="21" t="inlineStr">
        <is>
          <t>-</t>
        </is>
      </c>
      <c r="I83" s="21" t="inlineStr">
        <is>
          <t>needs inv + txn</t>
        </is>
      </c>
    </row>
    <row r="84">
      <c r="A84" s="21" t="inlineStr">
        <is>
          <t>5A — Store EDA</t>
        </is>
      </c>
      <c r="B84" s="21" t="inlineStr">
        <is>
          <t>SD7</t>
        </is>
      </c>
      <c r="C84" s="21" t="inlineStr">
        <is>
          <t>Hierarchy x min/max date x sales x qty x new-SKU x contribution</t>
        </is>
      </c>
      <c r="D84" s="25" t="inlineStr">
        <is>
          <t>Open</t>
        </is>
      </c>
      <c r="E84" s="21" t="inlineStr">
        <is>
          <t>-</t>
        </is>
      </c>
      <c r="F84" s="21" t="inlineStr">
        <is>
          <t>-</t>
        </is>
      </c>
      <c r="G84" s="21" t="inlineStr">
        <is>
          <t>-</t>
        </is>
      </c>
      <c r="H84" s="21" t="inlineStr">
        <is>
          <t>-</t>
        </is>
      </c>
      <c r="I84" s="21" t="inlineStr"/>
    </row>
    <row r="85">
      <c r="A85" s="21" t="inlineStr">
        <is>
          <t>5A — Store EDA</t>
        </is>
      </c>
      <c r="B85" s="21" t="inlineStr">
        <is>
          <t>SD8</t>
        </is>
      </c>
      <c r="C85" s="21" t="inlineStr">
        <is>
          <t>Promo behavior by dept</t>
        </is>
      </c>
      <c r="D85" s="21" t="inlineStr">
        <is>
          <t>-</t>
        </is>
      </c>
      <c r="E85" s="25" t="inlineStr">
        <is>
          <t>Open</t>
        </is>
      </c>
      <c r="F85" s="21" t="inlineStr">
        <is>
          <t>-</t>
        </is>
      </c>
      <c r="G85" s="21" t="inlineStr">
        <is>
          <t>-</t>
        </is>
      </c>
      <c r="H85" s="21" t="inlineStr">
        <is>
          <t>-</t>
        </is>
      </c>
      <c r="I85" s="21" t="inlineStr">
        <is>
          <t>blocked by disc=0</t>
        </is>
      </c>
    </row>
    <row r="86">
      <c r="A86" s="21" t="inlineStr">
        <is>
          <t>5A — Store EDA</t>
        </is>
      </c>
      <c r="B86" s="21" t="inlineStr">
        <is>
          <t>SD9</t>
        </is>
      </c>
      <c r="C86" s="21" t="inlineStr">
        <is>
          <t>Product life-cycle on sales flow × merch cat</t>
        </is>
      </c>
      <c r="D86" s="21" t="inlineStr">
        <is>
          <t>-</t>
        </is>
      </c>
      <c r="E86" s="25" t="inlineStr">
        <is>
          <t>Open</t>
        </is>
      </c>
      <c r="F86" s="21" t="inlineStr">
        <is>
          <t>-</t>
        </is>
      </c>
      <c r="G86" s="21" t="inlineStr">
        <is>
          <t>-</t>
        </is>
      </c>
      <c r="H86" s="21" t="inlineStr">
        <is>
          <t>-</t>
        </is>
      </c>
      <c r="I86" s="21" t="inlineStr"/>
    </row>
    <row r="87">
      <c r="A87" s="21" t="inlineStr">
        <is>
          <t>5A — Store EDA</t>
        </is>
      </c>
      <c r="B87" s="21" t="inlineStr">
        <is>
          <t>SD10</t>
        </is>
      </c>
      <c r="C87" s="21" t="inlineStr">
        <is>
          <t>Sales &gt; inventory TY — top SKU / top dept</t>
        </is>
      </c>
      <c r="D87" s="21" t="inlineStr">
        <is>
          <t>-</t>
        </is>
      </c>
      <c r="E87" s="21" t="inlineStr">
        <is>
          <t>-</t>
        </is>
      </c>
      <c r="F87" s="25" t="inlineStr">
        <is>
          <t>Open</t>
        </is>
      </c>
      <c r="G87" s="21" t="inlineStr">
        <is>
          <t>-</t>
        </is>
      </c>
      <c r="H87" s="21" t="inlineStr">
        <is>
          <t>-</t>
        </is>
      </c>
      <c r="I87" s="21" t="inlineStr"/>
    </row>
    <row r="88">
      <c r="A88" s="21" t="inlineStr">
        <is>
          <t>5A — Store EDA</t>
        </is>
      </c>
      <c r="B88" s="21" t="inlineStr">
        <is>
          <t>SD11</t>
        </is>
      </c>
      <c r="C88" s="21" t="inlineStr">
        <is>
          <t>Discount flow EDA + future promo guidance</t>
        </is>
      </c>
      <c r="D88" s="21" t="inlineStr">
        <is>
          <t>-</t>
        </is>
      </c>
      <c r="E88" s="25" t="inlineStr">
        <is>
          <t>Open</t>
        </is>
      </c>
      <c r="F88" s="21" t="inlineStr">
        <is>
          <t>-</t>
        </is>
      </c>
      <c r="G88" s="21" t="inlineStr">
        <is>
          <t>-</t>
        </is>
      </c>
      <c r="H88" s="21" t="inlineStr">
        <is>
          <t>-</t>
        </is>
      </c>
      <c r="I88" s="21" t="inlineStr">
        <is>
          <t>blocked by disc=0</t>
        </is>
      </c>
    </row>
    <row r="89">
      <c r="A89" s="21" t="inlineStr">
        <is>
          <t>5A — Store EDA</t>
        </is>
      </c>
      <c r="B89" s="21" t="inlineStr">
        <is>
          <t>SD12</t>
        </is>
      </c>
      <c r="C89" s="21" t="inlineStr">
        <is>
          <t>Retail price range across class/sub-class/dept</t>
        </is>
      </c>
      <c r="D89" s="21" t="inlineStr">
        <is>
          <t>-</t>
        </is>
      </c>
      <c r="E89" s="25" t="inlineStr">
        <is>
          <t>Open</t>
        </is>
      </c>
      <c r="F89" s="21" t="inlineStr">
        <is>
          <t>-</t>
        </is>
      </c>
      <c r="G89" s="21" t="inlineStr">
        <is>
          <t>-</t>
        </is>
      </c>
      <c r="H89" s="21" t="inlineStr">
        <is>
          <t>-</t>
        </is>
      </c>
      <c r="I89" s="21" t="inlineStr"/>
    </row>
    <row r="90">
      <c r="A90" s="21" t="inlineStr">
        <is>
          <t>5B — Ecom EDA</t>
        </is>
      </c>
      <c r="B90" s="21" t="inlineStr">
        <is>
          <t>ED1</t>
        </is>
      </c>
      <c r="C90" s="21" t="inlineStr">
        <is>
          <t>Distribution of SKUs across channels</t>
        </is>
      </c>
      <c r="D90" s="21" t="inlineStr">
        <is>
          <t>-</t>
        </is>
      </c>
      <c r="E90" s="25" t="inlineStr">
        <is>
          <t>Open</t>
        </is>
      </c>
      <c r="F90" s="21" t="inlineStr">
        <is>
          <t>-</t>
        </is>
      </c>
      <c r="G90" s="21" t="inlineStr">
        <is>
          <t>-</t>
        </is>
      </c>
      <c r="H90" s="21" t="inlineStr">
        <is>
          <t>-</t>
        </is>
      </c>
      <c r="I90" s="21" t="inlineStr"/>
    </row>
    <row r="91">
      <c r="A91" s="21" t="inlineStr">
        <is>
          <t>5B — Ecom EDA</t>
        </is>
      </c>
      <c r="B91" s="21" t="inlineStr">
        <is>
          <t>ED2</t>
        </is>
      </c>
      <c r="C91" s="21" t="inlineStr">
        <is>
          <t>Ecom-only vs retail-only SKU overlap</t>
        </is>
      </c>
      <c r="D91" s="21" t="inlineStr">
        <is>
          <t>-</t>
        </is>
      </c>
      <c r="E91" s="25" t="inlineStr">
        <is>
          <t>Open</t>
        </is>
      </c>
      <c r="F91" s="21" t="inlineStr">
        <is>
          <t>-</t>
        </is>
      </c>
      <c r="G91" s="21" t="inlineStr">
        <is>
          <t>-</t>
        </is>
      </c>
      <c r="H91" s="21" t="inlineStr">
        <is>
          <t>-</t>
        </is>
      </c>
      <c r="I91" s="21" t="inlineStr"/>
    </row>
    <row r="92">
      <c r="A92" s="21" t="inlineStr">
        <is>
          <t>5B — Ecom EDA</t>
        </is>
      </c>
      <c r="B92" s="21" t="inlineStr">
        <is>
          <t>ED3</t>
        </is>
      </c>
      <c r="C92" s="21" t="inlineStr">
        <is>
          <t>Price/discount variation Ecom vs BnM</t>
        </is>
      </c>
      <c r="D92" s="21" t="inlineStr">
        <is>
          <t>-</t>
        </is>
      </c>
      <c r="E92" s="25" t="inlineStr">
        <is>
          <t>Open</t>
        </is>
      </c>
      <c r="F92" s="21" t="inlineStr">
        <is>
          <t>-</t>
        </is>
      </c>
      <c r="G92" s="21" t="inlineStr">
        <is>
          <t>-</t>
        </is>
      </c>
      <c r="H92" s="21" t="inlineStr">
        <is>
          <t>-</t>
        </is>
      </c>
      <c r="I92" s="21" t="inlineStr">
        <is>
          <t>disc blocked</t>
        </is>
      </c>
    </row>
    <row r="93">
      <c r="A93" s="21" t="inlineStr">
        <is>
          <t>5B — Ecom EDA</t>
        </is>
      </c>
      <c r="B93" s="21" t="inlineStr">
        <is>
          <t>ED4</t>
        </is>
      </c>
      <c r="C93" s="21" t="inlineStr">
        <is>
          <t>Drop-ship / dotcom-exclusive SKU sales pattern</t>
        </is>
      </c>
      <c r="D93" s="21" t="inlineStr">
        <is>
          <t>-</t>
        </is>
      </c>
      <c r="E93" s="25" t="inlineStr">
        <is>
          <t>Open</t>
        </is>
      </c>
      <c r="F93" s="21" t="inlineStr">
        <is>
          <t>-</t>
        </is>
      </c>
      <c r="G93" s="21" t="inlineStr">
        <is>
          <t>-</t>
        </is>
      </c>
      <c r="H93" s="21" t="inlineStr">
        <is>
          <t>-</t>
        </is>
      </c>
      <c r="I93" s="21" t="inlineStr">
        <is>
          <t>if feed has indicator</t>
        </is>
      </c>
    </row>
    <row r="94">
      <c r="A94" s="21" t="inlineStr">
        <is>
          <t>5B — Ecom EDA</t>
        </is>
      </c>
      <c r="B94" s="21" t="inlineStr">
        <is>
          <t>ED5</t>
        </is>
      </c>
      <c r="C94" s="21" t="inlineStr">
        <is>
          <t>Channel × dept × season contribution</t>
        </is>
      </c>
      <c r="D94" s="21" t="inlineStr">
        <is>
          <t>-</t>
        </is>
      </c>
      <c r="E94" s="25" t="inlineStr">
        <is>
          <t>Open</t>
        </is>
      </c>
      <c r="F94" s="21" t="inlineStr">
        <is>
          <t>-</t>
        </is>
      </c>
      <c r="G94" s="21" t="inlineStr">
        <is>
          <t>-</t>
        </is>
      </c>
      <c r="H94" s="21" t="inlineStr">
        <is>
          <t>-</t>
        </is>
      </c>
      <c r="I94" s="21" t="inlineStr"/>
    </row>
  </sheetData>
  <autoFilter ref="A1:I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50" customWidth="1" min="7" max="7"/>
  </cols>
  <sheetData>
    <row r="1">
      <c r="A1" s="5" t="inlineStr">
        <is>
          <t>Dashboard — EDA Status per Table</t>
        </is>
      </c>
    </row>
    <row r="2">
      <c r="A2" s="2" t="inlineStr">
        <is>
          <t>5 master tables complete. ✅ = Phase 1+ done. 🔴 = P0 open. 🟡 = P1 open. 🟢 = Clean.</t>
        </is>
      </c>
    </row>
    <row r="4" ht="28" customHeight="1">
      <c r="A4" s="6" t="inlineStr">
        <is>
          <t>Table</t>
        </is>
      </c>
      <c r="B4" s="6" t="inlineStr">
        <is>
          <t>Rows</t>
        </is>
      </c>
      <c r="C4" s="6" t="inlineStr">
        <is>
          <t>Size (GB)</t>
        </is>
      </c>
      <c r="D4" s="6" t="inlineStr">
        <is>
          <t>Status</t>
        </is>
      </c>
      <c r="E4" s="6" t="inlineStr">
        <is>
          <t>P0 Open</t>
        </is>
      </c>
      <c r="F4" s="6" t="inlineStr">
        <is>
          <t>P1 Open</t>
        </is>
      </c>
      <c r="G4" s="6" t="inlineStr">
        <is>
          <t>Notes</t>
        </is>
      </c>
    </row>
    <row r="5">
      <c r="A5" t="inlineStr">
        <is>
          <t>product_master</t>
        </is>
      </c>
      <c r="B5" t="n">
        <v>1977528</v>
      </c>
      <c r="C5" t="n">
        <v>1.05</v>
      </c>
      <c r="D5" t="inlineStr">
        <is>
          <t>✅ Complete</t>
        </is>
      </c>
      <c r="E5" t="n">
        <v>1</v>
      </c>
      <c r="F5" t="n">
        <v>4</v>
      </c>
      <c r="G5" t="inlineStr">
        <is>
          <t>Historical snapshots is the only P0 blocker. 3 items self-resolved.</t>
        </is>
      </c>
    </row>
    <row r="6">
      <c r="A6" t="inlineStr">
        <is>
          <t>transaction_master</t>
        </is>
      </c>
      <c r="B6" t="n">
        <v>389872378</v>
      </c>
      <c r="C6" t="n">
        <v>73.53</v>
      </c>
      <c r="D6" t="inlineStr">
        <is>
          <t>✅ Complete</t>
        </is>
      </c>
      <c r="E6" t="n">
        <v>2</v>
      </c>
      <c r="F6" t="n">
        <v>5</v>
      </c>
      <c r="G6" t="inlineStr">
        <is>
          <t>Cost/msrp/discount 100% zero = P0s. 27% zero-qty hypothesis-confirmed.</t>
        </is>
      </c>
    </row>
    <row r="7">
      <c r="A7" t="inlineStr">
        <is>
          <t>inventory_master</t>
        </is>
      </c>
      <c r="B7" t="n">
        <v>7214258665</v>
      </c>
      <c r="C7" t="n">
        <v>650.48</v>
      </c>
      <c r="D7" t="inlineStr">
        <is>
          <t>✅ Phase 1</t>
        </is>
      </c>
      <c r="E7" t="n">
        <v>2</v>
      </c>
      <c r="F7" t="n">
        <v>2</v>
      </c>
      <c r="G7" t="inlineStr">
        <is>
          <t>4 of 10 cols useless. P0: 2022 history + negative oh.</t>
        </is>
      </c>
    </row>
    <row r="8">
      <c r="A8" t="inlineStr">
        <is>
          <t>store_master</t>
        </is>
      </c>
      <c r="B8" t="n">
        <v>1853</v>
      </c>
      <c r="C8" t="n">
        <v>0</v>
      </c>
      <c r="D8" t="inlineStr">
        <is>
          <t>✅ Complete</t>
        </is>
      </c>
      <c r="E8" t="n">
        <v>0</v>
      </c>
      <c r="F8" t="n">
        <v>4</v>
      </c>
      <c r="G8" t="inlineStr">
        <is>
          <t>🟢 Cleanest table. 10 virtual ECOMM stores classified.</t>
        </is>
      </c>
    </row>
    <row r="9">
      <c r="A9" t="inlineStr">
        <is>
          <t>calendar_hierarchy</t>
        </is>
      </c>
      <c r="B9" t="n">
        <v>4746</v>
      </c>
      <c r="C9" t="n">
        <v>0</v>
      </c>
      <c r="D9" t="inlineStr">
        <is>
          <t>✅ Complete</t>
        </is>
      </c>
      <c r="E9" t="n">
        <v>0</v>
      </c>
      <c r="F9" t="n">
        <v>1</v>
      </c>
      <c r="G9" t="inlineStr">
        <is>
          <t>🟢 PRISTINE. Extend to FY2030 = only ask.</t>
        </is>
      </c>
    </row>
    <row r="10">
      <c r="A10" s="7" t="inlineStr">
        <is>
          <t>-- Not yet EDA'd --</t>
        </is>
      </c>
      <c r="B10" s="7" t="inlineStr"/>
      <c r="C10" s="7" t="inlineStr"/>
      <c r="D10" s="7" t="inlineStr"/>
      <c r="E10" s="7" t="inlineStr"/>
      <c r="F10" s="7" t="inlineStr"/>
      <c r="G10" s="7" t="inlineStr"/>
    </row>
    <row r="11">
      <c r="A11" t="inlineStr">
        <is>
          <t>returns_transactions_20251119</t>
        </is>
      </c>
      <c r="B11" t="n">
        <v>733682768</v>
      </c>
      <c r="C11" t="n">
        <v>78.76000000000001</v>
      </c>
      <c r="D11" t="inlineStr">
        <is>
          <t>⏳ Not started</t>
        </is>
      </c>
      <c r="E11" t="inlineStr">
        <is>
          <t>?</t>
        </is>
      </c>
      <c r="F11" t="inlineStr">
        <is>
          <t>?</t>
        </is>
      </c>
      <c r="G11" t="inlineStr">
        <is>
          <t>Sample suggests all-zero values pattern</t>
        </is>
      </c>
    </row>
    <row r="12">
      <c r="A12" t="inlineStr">
        <is>
          <t>price_book</t>
        </is>
      </c>
      <c r="B12" t="n">
        <v>440496318</v>
      </c>
      <c r="C12" t="n">
        <v>32.42</v>
      </c>
      <c r="D12" t="inlineStr">
        <is>
          <t>⏳ Not started</t>
        </is>
      </c>
      <c r="E12" t="inlineStr">
        <is>
          <t>?</t>
        </is>
      </c>
      <c r="F12" t="inlineStr">
        <is>
          <t>?</t>
        </is>
      </c>
      <c r="G12" t="inlineStr">
        <is>
          <t>440M rows. All cols STRING. Source for discount derivation.</t>
        </is>
      </c>
    </row>
    <row r="13">
      <c r="A13" t="inlineStr">
        <is>
          <t>eligibility_cleaned_20251119</t>
        </is>
      </c>
      <c r="B13" t="n">
        <v>2302517438</v>
      </c>
      <c r="C13" t="n">
        <v>254.79</v>
      </c>
      <c r="D13" t="inlineStr">
        <is>
          <t>⏳ Not started</t>
        </is>
      </c>
      <c r="E13" t="inlineStr">
        <is>
          <t>?</t>
        </is>
      </c>
      <c r="F13" t="inlineStr">
        <is>
          <t>?</t>
        </is>
      </c>
      <c r="G13" t="inlineStr">
        <is>
          <t>10× bigger than sibling. Understand the 10×.</t>
        </is>
      </c>
    </row>
    <row r="15">
      <c r="A15" s="8" t="inlineStr">
        <is>
          <t>Severity Summary</t>
        </is>
      </c>
    </row>
    <row r="16" ht="28" customHeight="1">
      <c r="A16" s="6" t="inlineStr">
        <is>
          <t>Severity</t>
        </is>
      </c>
      <c r="B16" s="6" t="inlineStr">
        <is>
          <t>Count</t>
        </is>
      </c>
    </row>
    <row r="17">
      <c r="A17" s="9" t="inlineStr">
        <is>
          <t>🔴 P0 — Blockers</t>
        </is>
      </c>
      <c r="B17" s="9" t="n">
        <v>6</v>
      </c>
    </row>
    <row r="18">
      <c r="A18" s="10" t="inlineStr">
        <is>
          <t>🟡 P1 — Quality issues</t>
        </is>
      </c>
      <c r="B18" s="10" t="n">
        <v>20</v>
      </c>
    </row>
    <row r="19">
      <c r="A19" s="11" t="inlineStr">
        <is>
          <t>🟢 P2 — Cosmetic / low priority</t>
        </is>
      </c>
      <c r="B19" s="11" t="n">
        <v>16</v>
      </c>
    </row>
    <row r="20">
      <c r="A20" s="12" t="inlineStr">
        <is>
          <t>✅ Resolved (self)</t>
        </is>
      </c>
      <c r="B20" s="12" t="n">
        <v>5</v>
      </c>
    </row>
    <row r="21">
      <c r="A21" s="13" t="inlineStr">
        <is>
          <t>⏸️ Deferred</t>
        </is>
      </c>
      <c r="B21" s="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20" customWidth="1" min="4" max="4"/>
    <col width="50" customWidth="1" min="5" max="5"/>
    <col width="60" customWidth="1" min="6" max="6"/>
    <col width="25" customWidth="1" min="7" max="7"/>
    <col width="60" customWidth="1" min="8" max="8"/>
    <col width="22" customWidth="1" min="9" max="9"/>
    <col width="20" customWidth="1" min="10" max="10"/>
    <col width="14" customWidth="1" min="11" max="11"/>
    <col width="40" customWidth="1" min="12" max="12"/>
  </cols>
  <sheetData>
    <row r="1">
      <c r="A1" s="5" t="inlineStr">
        <is>
          <t>Action Items — All P0/P1/P2 tracker (v2)</t>
        </is>
      </c>
    </row>
    <row r="2">
      <c r="A2" s="2" t="inlineStr">
        <is>
          <t>Root Cause categorization added. Filter by Severity / Root Cause / Owner / Status.</t>
        </is>
      </c>
    </row>
    <row r="4" ht="28" customHeight="1">
      <c r="A4" s="6" t="inlineStr">
        <is>
          <t>ID</t>
        </is>
      </c>
      <c r="B4" s="6" t="inlineStr">
        <is>
          <t>Table</t>
        </is>
      </c>
      <c r="C4" s="6" t="inlineStr">
        <is>
          <t>Severity</t>
        </is>
      </c>
      <c r="D4" s="6" t="inlineStr">
        <is>
          <t>Root Cause</t>
        </is>
      </c>
      <c r="E4" s="6" t="inlineStr">
        <is>
          <t>Root Cause Detail</t>
        </is>
      </c>
      <c r="F4" s="6" t="inlineStr">
        <is>
          <t>Issue</t>
        </is>
      </c>
      <c r="G4" s="6" t="inlineStr">
        <is>
          <t>Scope</t>
        </is>
      </c>
      <c r="H4" s="6" t="inlineStr">
        <is>
          <t>Ask / Action</t>
        </is>
      </c>
      <c r="I4" s="6" t="inlineStr">
        <is>
          <t>Owner</t>
        </is>
      </c>
      <c r="J4" s="6" t="inlineStr">
        <is>
          <t>Status</t>
        </is>
      </c>
      <c r="K4" s="6" t="inlineStr">
        <is>
          <t>Date Opened</t>
        </is>
      </c>
      <c r="L4" s="6" t="inlineStr">
        <is>
          <t>Notes</t>
        </is>
      </c>
    </row>
    <row r="5">
      <c r="A5" s="14" t="inlineStr">
        <is>
          <t>P0-1</t>
        </is>
      </c>
      <c r="B5" s="14" t="inlineStr">
        <is>
          <t>transaction_master</t>
        </is>
      </c>
      <c r="C5" s="14" t="inlineStr">
        <is>
          <t>P0</t>
        </is>
      </c>
      <c r="D5" s="14" t="inlineStr">
        <is>
          <t>A — Source data</t>
        </is>
      </c>
      <c r="E5" s="14" t="inlineStr">
        <is>
          <t>sku_details.COST_PRICE / SELLING_PRICE are 0 in raw</t>
        </is>
      </c>
      <c r="F5" s="14" t="inlineStr">
        <is>
          <t>cost and msrp are 100% zero</t>
        </is>
      </c>
      <c r="G5" s="14" t="inlineStr">
        <is>
          <t>389M rows</t>
        </is>
      </c>
      <c r="H5" s="14" t="inlineStr">
        <is>
          <t>Populate in next feed; OR confirm these are intentionally stripped from cleaned version</t>
        </is>
      </c>
      <c r="I5" s="14" t="inlineStr">
        <is>
          <t>Client (check DE first)</t>
        </is>
      </c>
      <c r="J5" s="14" t="inlineStr">
        <is>
          <t>Open</t>
        </is>
      </c>
      <c r="K5" s="14" t="inlineStr">
        <is>
          <t>2026-04-20</t>
        </is>
      </c>
      <c r="L5" s="14" t="inlineStr">
        <is>
          <t>Smells like filtered view, not missing data</t>
        </is>
      </c>
    </row>
    <row r="6">
      <c r="A6" s="14" t="inlineStr">
        <is>
          <t>P0-2</t>
        </is>
      </c>
      <c r="B6" s="14" t="inlineStr">
        <is>
          <t>transaction_master</t>
        </is>
      </c>
      <c r="C6" s="14" t="inlineStr">
        <is>
          <t>P0</t>
        </is>
      </c>
      <c r="D6" s="14" t="inlineStr">
        <is>
          <t>B — Build stub</t>
        </is>
      </c>
      <c r="E6" s="14" t="inlineStr">
        <is>
          <t>Discount cols hardcoded 0 in master DDL; likely sourced from price_book</t>
        </is>
      </c>
      <c r="F6" s="14" t="inlineStr">
        <is>
          <t>Discount columns (unit_discount_amount, total_discount_amount, clearance_price) 100% zero</t>
        </is>
      </c>
      <c r="G6" s="14" t="inlineStr">
        <is>
          <t>389M rows</t>
        </is>
      </c>
      <c r="H6" s="14" t="inlineStr">
        <is>
          <t>Populate, OR confirm derivation from price_book is the intended source</t>
        </is>
      </c>
      <c r="I6" s="14" t="inlineStr">
        <is>
          <t>Client</t>
        </is>
      </c>
      <c r="J6" s="14" t="inlineStr">
        <is>
          <t>Open</t>
        </is>
      </c>
      <c r="K6" s="14" t="inlineStr">
        <is>
          <t>2026-04-20</t>
        </is>
      </c>
      <c r="L6" s="14" t="inlineStr">
        <is>
          <t>Likely derive: REGULAR_PRICE - transaction.price</t>
        </is>
      </c>
    </row>
    <row r="7">
      <c r="A7" s="14" t="inlineStr">
        <is>
          <t>P0-3</t>
        </is>
      </c>
      <c r="B7" s="14" t="inlineStr">
        <is>
          <t>inventory_master</t>
        </is>
      </c>
      <c r="C7" s="14" t="inlineStr">
        <is>
          <t>P0</t>
        </is>
      </c>
      <c r="D7" s="14" t="inlineStr">
        <is>
          <t>D — Real anomaly</t>
        </is>
      </c>
      <c r="E7" s="14" t="inlineStr">
        <is>
          <t>Negative OH — investigate legitimacy</t>
        </is>
      </c>
      <c r="F7" s="14" t="inlineStr">
        <is>
          <t>64M rows (0.89%) have oh &lt; 0; min = -3,704,869</t>
        </is>
      </c>
      <c r="G7" s="14" t="inlineStr">
        <is>
          <t>64,279,970 rows</t>
        </is>
      </c>
      <c r="H7" s="14" t="inlineStr">
        <is>
          <t>Explain: legitimate (oversold/shrinkage) or data bug?</t>
        </is>
      </c>
      <c r="I7" s="14" t="inlineStr">
        <is>
          <t>Client</t>
        </is>
      </c>
      <c r="J7" s="14" t="inlineStr">
        <is>
          <t>Open</t>
        </is>
      </c>
      <c r="K7" s="14" t="inlineStr">
        <is>
          <t>2026-04-20</t>
        </is>
      </c>
      <c r="L7" s="14" t="inlineStr">
        <is>
          <t>Needs call, not email</t>
        </is>
      </c>
    </row>
    <row r="8">
      <c r="A8" s="14" t="inlineStr">
        <is>
          <t>P0-4</t>
        </is>
      </c>
      <c r="B8" s="14" t="inlineStr">
        <is>
          <t>inventory_master</t>
        </is>
      </c>
      <c r="C8" s="14" t="inlineStr">
        <is>
          <t>P0</t>
        </is>
      </c>
      <c r="D8" s="14" t="inlineStr">
        <is>
          <t>A — Source data</t>
        </is>
      </c>
      <c r="E8" s="14" t="inlineStr">
        <is>
          <t>inventory_snapshot doesn't have pre-2023 history</t>
        </is>
      </c>
      <c r="F8" s="14" t="inlineStr">
        <is>
          <t>Inventory history starts 2023-01; transactions go back to 2021-11</t>
        </is>
      </c>
      <c r="G8" s="14" t="inlineStr">
        <is>
          <t>14+ months missing</t>
        </is>
      </c>
      <c r="H8" s="14" t="inlineStr">
        <is>
          <t>Provide pre-2023 inventory snapshots for forecast backtesting</t>
        </is>
      </c>
      <c r="I8" s="14" t="inlineStr">
        <is>
          <t>Client</t>
        </is>
      </c>
      <c r="J8" s="14" t="inlineStr">
        <is>
          <t>Open</t>
        </is>
      </c>
      <c r="K8" s="14" t="inlineStr">
        <is>
          <t>2026-04-20</t>
        </is>
      </c>
      <c r="L8" s="14" t="inlineStr">
        <is>
          <t>Biggest blocker for multi-year modeling</t>
        </is>
      </c>
    </row>
    <row r="9">
      <c r="A9" s="14" t="inlineStr">
        <is>
          <t>P0-5</t>
        </is>
      </c>
      <c r="B9" s="14" t="inlineStr">
        <is>
          <t>product_master</t>
        </is>
      </c>
      <c r="C9" s="14" t="inlineStr">
        <is>
          <t>P0</t>
        </is>
      </c>
      <c r="D9" s="14" t="inlineStr">
        <is>
          <t>A — Source data</t>
        </is>
      </c>
      <c r="E9" s="14" t="inlineStr">
        <is>
          <t>product_master is single-season snapshot from PGH</t>
        </is>
      </c>
      <c r="F9" s="14" t="inlineStr">
        <is>
          <t>Only current season 25-4WI; no historical product records</t>
        </is>
      </c>
      <c r="G9" s="14" t="inlineStr">
        <is>
          <t>1.97M rows</t>
        </is>
      </c>
      <c r="H9" s="14" t="inlineStr">
        <is>
          <t>Provide per-season product snapshots OR append-only product log</t>
        </is>
      </c>
      <c r="I9" s="14" t="inlineStr">
        <is>
          <t>Client</t>
        </is>
      </c>
      <c r="J9" s="14" t="inlineStr">
        <is>
          <t>Open</t>
        </is>
      </c>
      <c r="K9" s="14" t="inlineStr">
        <is>
          <t>2026-04-20</t>
        </is>
      </c>
      <c r="L9" s="14" t="inlineStr">
        <is>
          <t>Needed for joins to 2023-2024 transactions</t>
        </is>
      </c>
    </row>
    <row r="10">
      <c r="A10" s="15" t="inlineStr">
        <is>
          <t>P0-0</t>
        </is>
      </c>
      <c r="B10" s="15" t="inlineStr">
        <is>
          <t>product_master</t>
        </is>
      </c>
      <c r="C10" s="15" t="inlineStr">
        <is>
          <t>Deferred</t>
        </is>
      </c>
      <c r="D10" s="15" t="inlineStr">
        <is>
          <t>B — Build stub</t>
        </is>
      </c>
      <c r="E10" s="15" t="inlineStr">
        <is>
          <t>launch_date = NULL hardcoded in master DDL (deferred)</t>
        </is>
      </c>
      <c r="F10" s="15" t="inlineStr">
        <is>
          <t>launch_date 100% NULL</t>
        </is>
      </c>
      <c r="G10" s="15" t="inlineStr">
        <is>
          <t>1.97M rows</t>
        </is>
      </c>
      <c r="H10" s="15" t="inlineStr">
        <is>
          <t>Deferred per user. Forces first-transaction-date as launch proxy.</t>
        </is>
      </c>
      <c r="I10" s="15" t="inlineStr">
        <is>
          <t>Client</t>
        </is>
      </c>
      <c r="J10" s="15" t="inlineStr">
        <is>
          <t>Deferred</t>
        </is>
      </c>
      <c r="K10" s="15" t="inlineStr">
        <is>
          <t>2026-04-20</t>
        </is>
      </c>
      <c r="L10" s="15" t="inlineStr">
        <is>
          <t>Revisit when new-product forecasting becomes blocking</t>
        </is>
      </c>
    </row>
    <row r="11">
      <c r="A11" s="16" t="inlineStr">
        <is>
          <t>T4</t>
        </is>
      </c>
      <c r="B11" s="16" t="inlineStr">
        <is>
          <t>transaction_master</t>
        </is>
      </c>
      <c r="C11" s="16" t="inlineStr">
        <is>
          <t>P1</t>
        </is>
      </c>
      <c r="D11" s="16" t="inlineStr">
        <is>
          <t>D — Real anomaly</t>
        </is>
      </c>
      <c r="E11" s="16" t="inlineStr">
        <is>
          <t>Extreme outliers — wholesale or data errors</t>
        </is>
      </c>
      <c r="F11" s="16" t="inlineStr">
        <is>
          <t>Extreme outliers: max qty=31,047, max revenue=$20M, max price=$1M</t>
        </is>
      </c>
      <c r="G11" s="16" t="inlineStr">
        <is>
          <t>&lt;50 rows</t>
        </is>
      </c>
      <c r="H11" s="16" t="inlineStr">
        <is>
          <t>Explain — wholesale/B2B? Data error?</t>
        </is>
      </c>
      <c r="I11" s="16" t="inlineStr">
        <is>
          <t>Client</t>
        </is>
      </c>
      <c r="J11" s="16" t="inlineStr">
        <is>
          <t>Open</t>
        </is>
      </c>
      <c r="K11" s="16" t="inlineStr">
        <is>
          <t>2026-04-20</t>
        </is>
      </c>
      <c r="L11" s="16" t="inlineStr"/>
    </row>
    <row r="12">
      <c r="A12" s="16" t="inlineStr">
        <is>
          <t>T5</t>
        </is>
      </c>
      <c r="B12" s="16" t="inlineStr">
        <is>
          <t>transaction_master</t>
        </is>
      </c>
      <c r="C12" s="16" t="inlineStr">
        <is>
          <t>P1</t>
        </is>
      </c>
      <c r="D12" s="16" t="inlineStr">
        <is>
          <t>D — Real anomaly</t>
        </is>
      </c>
      <c r="E12" s="16" t="inlineStr">
        <is>
          <t>Negative price + cost &gt; price — likely data errors</t>
        </is>
      </c>
      <c r="F12" s="16" t="inlineStr">
        <is>
          <t>42 rows with negative price AND cost &gt; price</t>
        </is>
      </c>
      <c r="G12" s="16" t="inlineStr">
        <is>
          <t>42 rows</t>
        </is>
      </c>
      <c r="H12" s="16" t="inlineStr">
        <is>
          <t>Explain</t>
        </is>
      </c>
      <c r="I12" s="16" t="inlineStr">
        <is>
          <t>Client</t>
        </is>
      </c>
      <c r="J12" s="16" t="inlineStr">
        <is>
          <t>Open</t>
        </is>
      </c>
      <c r="K12" s="16" t="inlineStr">
        <is>
          <t>2026-04-20</t>
        </is>
      </c>
      <c r="L12" s="16" t="inlineStr"/>
    </row>
    <row r="13">
      <c r="A13" s="16" t="inlineStr">
        <is>
          <t>T6</t>
        </is>
      </c>
      <c r="B13" s="16" t="inlineStr">
        <is>
          <t>transaction_master</t>
        </is>
      </c>
      <c r="C13" s="16" t="inlineStr">
        <is>
          <t>P1</t>
        </is>
      </c>
      <c r="D13" s="16" t="inlineStr">
        <is>
          <t>B — Build stub</t>
        </is>
      </c>
      <c r="E13" s="16" t="inlineStr">
        <is>
          <t>All 12 cols hardcoded NULL in transaction_master DDL</t>
        </is>
      </c>
      <c r="F13" s="16" t="inlineStr">
        <is>
          <t>12 columns 100% NULL (line_id, launch_price, transaction_type, etc.)</t>
        </is>
      </c>
      <c r="G13" s="16" t="inlineStr">
        <is>
          <t>All rows</t>
        </is>
      </c>
      <c r="H13" s="16" t="inlineStr">
        <is>
          <t>Populate in next feed or remove from schema</t>
        </is>
      </c>
      <c r="I13" s="16" t="inlineStr">
        <is>
          <t>Client</t>
        </is>
      </c>
      <c r="J13" s="16" t="inlineStr">
        <is>
          <t>Open</t>
        </is>
      </c>
      <c r="K13" s="16" t="inlineStr">
        <is>
          <t>2026-04-20</t>
        </is>
      </c>
      <c r="L13" s="16" t="inlineStr"/>
    </row>
    <row r="14">
      <c r="A14" s="16" t="inlineStr">
        <is>
          <t>T9</t>
        </is>
      </c>
      <c r="B14" s="16" t="inlineStr">
        <is>
          <t>transaction_master</t>
        </is>
      </c>
      <c r="C14" s="16" t="inlineStr">
        <is>
          <t>P1</t>
        </is>
      </c>
      <c r="D14" s="16" t="inlineStr">
        <is>
          <t>B — Build stub</t>
        </is>
      </c>
      <c r="E14" s="16" t="inlineStr">
        <is>
          <t>clearance, flagged_rows hardcoded 0 in DDL</t>
        </is>
      </c>
      <c r="F14" s="16" t="inlineStr">
        <is>
          <t>clearance and flagged_rows always 0</t>
        </is>
      </c>
      <c r="G14" s="16" t="inlineStr">
        <is>
          <t>All rows</t>
        </is>
      </c>
      <c r="H14" s="16" t="inlineStr">
        <is>
          <t>Populate or drop</t>
        </is>
      </c>
      <c r="I14" s="16" t="inlineStr">
        <is>
          <t>Client</t>
        </is>
      </c>
      <c r="J14" s="16" t="inlineStr">
        <is>
          <t>Open</t>
        </is>
      </c>
      <c r="K14" s="16" t="inlineStr">
        <is>
          <t>2026-04-20</t>
        </is>
      </c>
      <c r="L14" s="16" t="inlineStr"/>
    </row>
    <row r="15">
      <c r="A15" s="16" t="inlineStr">
        <is>
          <t>T10</t>
        </is>
      </c>
      <c r="B15" s="16" t="inlineStr">
        <is>
          <t>transaction_master</t>
        </is>
      </c>
      <c r="C15" s="16" t="inlineStr">
        <is>
          <t>P1</t>
        </is>
      </c>
      <c r="D15" s="16" t="inlineStr">
        <is>
          <t>D — Real anomaly</t>
        </is>
      </c>
      <c r="E15" s="16" t="inlineStr">
        <is>
          <t>qty&gt;0 but price=0 — likely free/promo items</t>
        </is>
      </c>
      <c r="F15" s="16" t="inlineStr">
        <is>
          <t>9,290 rows with qty &gt; 0 but price/revenue = 0 (free items?)</t>
        </is>
      </c>
      <c r="G15" s="16" t="inlineStr">
        <is>
          <t>9,290 rows</t>
        </is>
      </c>
      <c r="H15" s="16" t="inlineStr">
        <is>
          <t>Confirm treatment — keep or drop?</t>
        </is>
      </c>
      <c r="I15" s="16" t="inlineStr">
        <is>
          <t>Client</t>
        </is>
      </c>
      <c r="J15" s="16" t="inlineStr">
        <is>
          <t>Open</t>
        </is>
      </c>
      <c r="K15" s="16" t="inlineStr">
        <is>
          <t>2026-04-20</t>
        </is>
      </c>
      <c r="L15" s="16" t="inlineStr"/>
    </row>
    <row r="16">
      <c r="A16" s="16" t="inlineStr">
        <is>
          <t>I1</t>
        </is>
      </c>
      <c r="B16" s="16" t="inlineStr">
        <is>
          <t>inventory_master</t>
        </is>
      </c>
      <c r="C16" s="16" t="inlineStr">
        <is>
          <t>P1</t>
        </is>
      </c>
      <c r="D16" s="16" t="inlineStr">
        <is>
          <t>B — Build stub</t>
        </is>
      </c>
      <c r="E16" s="16" t="inlineStr">
        <is>
          <t>oo, wip, initial_oh_quantity hardcoded 0 in DDL</t>
        </is>
      </c>
      <c r="F16" s="16" t="inlineStr">
        <is>
          <t>oo, wip, initial_oh_quantity 100% zero across 7.2B rows</t>
        </is>
      </c>
      <c r="G16" s="16" t="inlineStr">
        <is>
          <t>All rows</t>
        </is>
      </c>
      <c r="H16" s="16" t="inlineStr">
        <is>
          <t>Populate or confirm deprecation</t>
        </is>
      </c>
      <c r="I16" s="16" t="inlineStr">
        <is>
          <t>Client</t>
        </is>
      </c>
      <c r="J16" s="16" t="inlineStr">
        <is>
          <t>Open</t>
        </is>
      </c>
      <c r="K16" s="16" t="inlineStr">
        <is>
          <t>2026-04-20</t>
        </is>
      </c>
      <c r="L16" s="16" t="inlineStr">
        <is>
          <t>Schema has 10 cols but only 3 useful</t>
        </is>
      </c>
    </row>
    <row r="17">
      <c r="A17" s="16" t="inlineStr">
        <is>
          <t>I4</t>
        </is>
      </c>
      <c r="B17" s="16" t="inlineStr">
        <is>
          <t>inventory_master</t>
        </is>
      </c>
      <c r="C17" s="16" t="inlineStr">
        <is>
          <t>P1</t>
        </is>
      </c>
      <c r="D17" s="16" t="inlineStr">
        <is>
          <t>D — Real anomaly</t>
        </is>
      </c>
      <c r="E17" s="16" t="inlineStr">
        <is>
          <t>Extreme max OH — DC aggregate likely</t>
        </is>
      </c>
      <c r="F17" s="16" t="inlineStr">
        <is>
          <t>Max oh = 700,024 at single SKU-store-date</t>
        </is>
      </c>
      <c r="G17" s="16" t="inlineStr">
        <is>
          <t>1 row</t>
        </is>
      </c>
      <c r="H17" s="16" t="inlineStr">
        <is>
          <t>Explain — wholesale? DC aggregate?</t>
        </is>
      </c>
      <c r="I17" s="16" t="inlineStr">
        <is>
          <t>Client</t>
        </is>
      </c>
      <c r="J17" s="16" t="inlineStr">
        <is>
          <t>Open</t>
        </is>
      </c>
      <c r="K17" s="16" t="inlineStr">
        <is>
          <t>2026-04-20</t>
        </is>
      </c>
      <c r="L17" s="16" t="inlineStr"/>
    </row>
    <row r="18">
      <c r="A18" s="16" t="inlineStr">
        <is>
          <t>PM-4</t>
        </is>
      </c>
      <c r="B18" s="16" t="inlineStr">
        <is>
          <t>product_master</t>
        </is>
      </c>
      <c r="C18" s="16" t="inlineStr">
        <is>
          <t>P1</t>
        </is>
      </c>
      <c r="D18" s="16" t="inlineStr">
        <is>
          <t>D — Real anomaly</t>
        </is>
      </c>
      <c r="E18" s="16" t="inlineStr">
        <is>
          <t>Placeholder SKUs (short article codes)</t>
        </is>
      </c>
      <c r="F18" s="16" t="inlineStr">
        <is>
          <t>Placeholder SKUs (1,248 short-code articles like HX, MV, NK)</t>
        </is>
      </c>
      <c r="G18" s="16" t="inlineStr">
        <is>
          <t>55K rows</t>
        </is>
      </c>
      <c r="H18" s="16" t="inlineStr">
        <is>
          <t>Explain — brand refs? test data? Include/exclude in modeling?</t>
        </is>
      </c>
      <c r="I18" s="16" t="inlineStr">
        <is>
          <t>Client (15-min call)</t>
        </is>
      </c>
      <c r="J18" s="16" t="inlineStr">
        <is>
          <t>Open</t>
        </is>
      </c>
      <c r="K18" s="16" t="inlineStr">
        <is>
          <t>2026-04-20</t>
        </is>
      </c>
      <c r="L18" s="16" t="inlineStr"/>
    </row>
    <row r="19">
      <c r="A19" s="16" t="inlineStr">
        <is>
          <t>PM-7</t>
        </is>
      </c>
      <c r="B19" s="16" t="inlineStr">
        <is>
          <t>product_master</t>
        </is>
      </c>
      <c r="C19" s="16" t="inlineStr">
        <is>
          <t>P1</t>
        </is>
      </c>
      <c r="D19" s="16" t="inlineStr">
        <is>
          <t>A — Source data</t>
        </is>
      </c>
      <c r="E19" s="16" t="inlineStr">
        <is>
          <t>fit_classification NULL in source product_attribute_s</t>
        </is>
      </c>
      <c r="F19" s="16" t="inlineStr">
        <is>
          <t>fit_classification 24.7% NULL</t>
        </is>
      </c>
      <c r="G19" s="16" t="inlineStr">
        <is>
          <t>489K rows</t>
        </is>
      </c>
      <c r="H19" s="16" t="inlineStr">
        <is>
          <t>Improve coverage (Size Smart driver)</t>
        </is>
      </c>
      <c r="I19" s="16" t="inlineStr">
        <is>
          <t>Client</t>
        </is>
      </c>
      <c r="J19" s="16" t="inlineStr">
        <is>
          <t>Open</t>
        </is>
      </c>
      <c r="K19" s="16" t="inlineStr">
        <is>
          <t>2026-04-20</t>
        </is>
      </c>
      <c r="L19" s="16" t="inlineStr"/>
    </row>
    <row r="20">
      <c r="A20" s="16" t="inlineStr">
        <is>
          <t>PM-9</t>
        </is>
      </c>
      <c r="B20" s="16" t="inlineStr">
        <is>
          <t>product_master</t>
        </is>
      </c>
      <c r="C20" s="16" t="inlineStr">
        <is>
          <t>P1</t>
        </is>
      </c>
      <c r="D20" s="16" t="inlineStr">
        <is>
          <t>E — Semantics</t>
        </is>
      </c>
      <c r="E20" s="16" t="inlineStr">
        <is>
          <t>flex_status='Drop' meaning needs clarification</t>
        </is>
      </c>
      <c r="F20" s="16" t="inlineStr">
        <is>
          <t>flex_status='Drop' semantics — sell-down? discontinuing?</t>
        </is>
      </c>
      <c r="G20" s="16" t="inlineStr">
        <is>
          <t>572K rows</t>
        </is>
      </c>
      <c r="H20" s="16" t="inlineStr">
        <is>
          <t>Confirm interpretation</t>
        </is>
      </c>
      <c r="I20" s="16" t="inlineStr">
        <is>
          <t>Client</t>
        </is>
      </c>
      <c r="J20" s="16" t="inlineStr">
        <is>
          <t>Open</t>
        </is>
      </c>
      <c r="K20" s="16" t="inlineStr">
        <is>
          <t>2026-04-20</t>
        </is>
      </c>
      <c r="L20" s="16" t="inlineStr"/>
    </row>
    <row r="21">
      <c r="A21" s="16" t="inlineStr">
        <is>
          <t>PM-11</t>
        </is>
      </c>
      <c r="B21" s="16" t="inlineStr">
        <is>
          <t>product_master</t>
        </is>
      </c>
      <c r="C21" s="16" t="inlineStr">
        <is>
          <t>P1</t>
        </is>
      </c>
      <c r="D21" s="16" t="inlineStr">
        <is>
          <t>A — Source data</t>
        </is>
      </c>
      <c r="E21" s="16" t="inlineStr">
        <is>
          <t>size_scale lookup not provided</t>
        </is>
      </c>
      <c r="F21" s="16" t="inlineStr">
        <is>
          <t>size_scale coded letters (B, E, I, WA, J2, L1...) no lookup</t>
        </is>
      </c>
      <c r="G21" s="16" t="inlineStr">
        <is>
          <t>1.9M rows</t>
        </is>
      </c>
      <c r="H21" s="16" t="inlineStr">
        <is>
          <t>Provide lookup mapping to size ranges</t>
        </is>
      </c>
      <c r="I21" s="16" t="inlineStr">
        <is>
          <t>Client</t>
        </is>
      </c>
      <c r="J21" s="16" t="inlineStr">
        <is>
          <t>Open</t>
        </is>
      </c>
      <c r="K21" s="16" t="inlineStr">
        <is>
          <t>2026-04-20</t>
        </is>
      </c>
      <c r="L21" s="16" t="inlineStr"/>
    </row>
    <row r="22">
      <c r="A22" s="16" t="inlineStr">
        <is>
          <t>S1</t>
        </is>
      </c>
      <c r="B22" s="16" t="inlineStr">
        <is>
          <t>store_master</t>
        </is>
      </c>
      <c r="C22" s="16" t="inlineStr">
        <is>
          <t>P1</t>
        </is>
      </c>
      <c r="D22" s="16" t="inlineStr">
        <is>
          <t>E — Cosmetic</t>
        </is>
      </c>
      <c r="E22" s="16" t="inlineStr">
        <is>
          <t>CMNTY vs COMMUNITY spelling inconsistency</t>
        </is>
      </c>
      <c r="F22" s="16" t="inlineStr">
        <is>
          <t>CMNTY (26) vs COMMUNITY (13) — same channel, two spellings</t>
        </is>
      </c>
      <c r="G22" s="16" t="inlineStr">
        <is>
          <t>39 stores</t>
        </is>
      </c>
      <c r="H22" s="16" t="inlineStr">
        <is>
          <t>Standardize in next refresh</t>
        </is>
      </c>
      <c r="I22" s="16" t="inlineStr">
        <is>
          <t>Client</t>
        </is>
      </c>
      <c r="J22" s="16" t="inlineStr">
        <is>
          <t>Open</t>
        </is>
      </c>
      <c r="K22" s="16" t="inlineStr">
        <is>
          <t>2026-04-20</t>
        </is>
      </c>
      <c r="L22" s="16" t="inlineStr">
        <is>
          <t>Easy fix</t>
        </is>
      </c>
    </row>
    <row r="23">
      <c r="A23" s="16" t="inlineStr">
        <is>
          <t>S3</t>
        </is>
      </c>
      <c r="B23" s="16" t="inlineStr">
        <is>
          <t>store_master</t>
        </is>
      </c>
      <c r="C23" s="16" t="inlineStr">
        <is>
          <t>P1</t>
        </is>
      </c>
      <c r="D23" s="16" t="inlineStr">
        <is>
          <t>A — Source data</t>
        </is>
      </c>
      <c r="E23" s="16" t="inlineStr">
        <is>
          <t>store_format_code NULL in 21% of raw</t>
        </is>
      </c>
      <c r="F23" s="16" t="inlineStr">
        <is>
          <t>store_format_code 21% NULL</t>
        </is>
      </c>
      <c r="G23" s="16" t="inlineStr">
        <is>
          <t>392 stores</t>
        </is>
      </c>
      <c r="H23" s="16" t="inlineStr">
        <is>
          <t>Populate for all stores</t>
        </is>
      </c>
      <c r="I23" s="16" t="inlineStr">
        <is>
          <t>Client</t>
        </is>
      </c>
      <c r="J23" s="16" t="inlineStr">
        <is>
          <t>Open</t>
        </is>
      </c>
      <c r="K23" s="16" t="inlineStr">
        <is>
          <t>2026-04-20</t>
        </is>
      </c>
      <c r="L23" s="16" t="inlineStr"/>
    </row>
    <row r="24">
      <c r="A24" s="16" t="inlineStr">
        <is>
          <t>S4</t>
        </is>
      </c>
      <c r="B24" s="16" t="inlineStr">
        <is>
          <t>store_master</t>
        </is>
      </c>
      <c r="C24" s="16" t="inlineStr">
        <is>
          <t>P1</t>
        </is>
      </c>
      <c r="D24" s="16" t="inlineStr">
        <is>
          <t>C — Build logic</t>
        </is>
      </c>
      <c r="E24" s="16" t="inlineStr">
        <is>
          <t>active = LOC_CLOSED_IND — polarity may be inverted</t>
        </is>
      </c>
      <c r="F24" s="16" t="inlineStr">
        <is>
          <t>active flag 11% NULL</t>
        </is>
      </c>
      <c r="G24" s="16" t="inlineStr">
        <is>
          <t>199 stores</t>
        </is>
      </c>
      <c r="H24" s="16" t="inlineStr">
        <is>
          <t>Every store should have active flag</t>
        </is>
      </c>
      <c r="I24" s="16" t="inlineStr">
        <is>
          <t>Client</t>
        </is>
      </c>
      <c r="J24" s="16" t="inlineStr">
        <is>
          <t>Open</t>
        </is>
      </c>
      <c r="K24" s="16" t="inlineStr">
        <is>
          <t>2026-04-20</t>
        </is>
      </c>
      <c r="L24" s="16" t="inlineStr"/>
    </row>
    <row r="25">
      <c r="A25" s="16" t="inlineStr">
        <is>
          <t>S5</t>
        </is>
      </c>
      <c r="B25" s="16" t="inlineStr">
        <is>
          <t>store_master</t>
        </is>
      </c>
      <c r="C25" s="16" t="inlineStr">
        <is>
          <t>P1</t>
        </is>
      </c>
      <c r="D25" s="16" t="inlineStr">
        <is>
          <t>E — Semantics</t>
        </is>
      </c>
      <c r="E25" s="16" t="inlineStr">
        <is>
          <t>non-transactional channel codes (expected)</t>
        </is>
      </c>
      <c r="F25" s="16" t="inlineStr">
        <is>
          <t>21 channel_codes exist but have zero transactions</t>
        </is>
      </c>
      <c r="G25" s="16" t="inlineStr">
        <is>
          <t>~200 stores</t>
        </is>
      </c>
      <c r="H25" s="16" t="inlineStr">
        <is>
          <t>Expected (non-txn channels) or feed gap?</t>
        </is>
      </c>
      <c r="I25" s="16" t="inlineStr">
        <is>
          <t>Client</t>
        </is>
      </c>
      <c r="J25" s="16" t="inlineStr">
        <is>
          <t>Open</t>
        </is>
      </c>
      <c r="K25" s="16" t="inlineStr">
        <is>
          <t>2026-04-20</t>
        </is>
      </c>
      <c r="L25" s="16" t="inlineStr">
        <is>
          <t>FO/CMNTY/STRAT</t>
        </is>
      </c>
    </row>
    <row r="26">
      <c r="A26" s="16" t="inlineStr">
        <is>
          <t>C1</t>
        </is>
      </c>
      <c r="B26" s="16" t="inlineStr">
        <is>
          <t>calendar_hierarchy</t>
        </is>
      </c>
      <c r="C26" s="16" t="inlineStr">
        <is>
          <t>P1</t>
        </is>
      </c>
      <c r="D26" s="16" t="inlineStr">
        <is>
          <t>A — Source data</t>
        </is>
      </c>
      <c r="E26" s="16" t="inlineStr">
        <is>
          <t>calendar needs 3 more years appended</t>
        </is>
      </c>
      <c r="F26" s="16" t="inlineStr">
        <is>
          <t>Calendar ends FY27. Spec requires 5 years future</t>
        </is>
      </c>
      <c r="G26" s="16" t="inlineStr">
        <is>
          <t>—</t>
        </is>
      </c>
      <c r="H26" s="16" t="inlineStr">
        <is>
          <t>Extend to FY2030 (or FY2031 for safety)</t>
        </is>
      </c>
      <c r="I26" s="16" t="inlineStr">
        <is>
          <t>Client</t>
        </is>
      </c>
      <c r="J26" s="16" t="inlineStr">
        <is>
          <t>Open</t>
        </is>
      </c>
      <c r="K26" s="16" t="inlineStr">
        <is>
          <t>2026-04-20</t>
        </is>
      </c>
      <c r="L26" s="16" t="inlineStr">
        <is>
          <t>Otherwise pristine</t>
        </is>
      </c>
    </row>
    <row r="27">
      <c r="A27" s="16" t="inlineStr">
        <is>
          <t>W1</t>
        </is>
      </c>
      <c r="B27" s="16" t="inlineStr">
        <is>
          <t>transaction_master</t>
        </is>
      </c>
      <c r="C27" s="16" t="inlineStr">
        <is>
          <t>P1</t>
        </is>
      </c>
      <c r="D27" s="16" t="inlineStr">
        <is>
          <t>R — Workaround</t>
        </is>
      </c>
      <c r="E27" s="16" t="inlineStr">
        <is>
          <t>Combine flex_status with transaction recency</t>
        </is>
      </c>
      <c r="F27" s="16" t="inlineStr">
        <is>
          <t>106M zero-qty rows (27%) — non-sale events</t>
        </is>
      </c>
      <c r="G27" s="16" t="inlineStr">
        <is>
          <t>106M rows</t>
        </is>
      </c>
      <c r="H27" s="16" t="inlineStr">
        <is>
          <t>INTERNAL WORKAROUND: Apply WHERE qty &gt; 0 AND revenue &gt; 0. Confirm hypothesis with Ritik/Sri in 15-min call.</t>
        </is>
      </c>
      <c r="I27" s="16" t="inlineStr">
        <is>
          <t>Internal</t>
        </is>
      </c>
      <c r="J27" s="16" t="inlineStr">
        <is>
          <t>Workaround Planned</t>
        </is>
      </c>
      <c r="K27" s="16" t="inlineStr">
        <is>
          <t>2026-04-20</t>
        </is>
      </c>
      <c r="L27" s="16" t="inlineStr">
        <is>
          <t>Gift cards + ECOMM events + virtual stores</t>
        </is>
      </c>
    </row>
    <row r="28">
      <c r="A28" s="16" t="inlineStr">
        <is>
          <t>W2</t>
        </is>
      </c>
      <c r="B28" s="16" t="inlineStr">
        <is>
          <t>product_master</t>
        </is>
      </c>
      <c r="C28" s="16" t="inlineStr">
        <is>
          <t>P1</t>
        </is>
      </c>
      <c r="D28" s="16" t="inlineStr">
        <is>
          <t>R — Workaround</t>
        </is>
      </c>
      <c r="E28" s="16" t="inlineStr">
        <is>
          <t>Filter qty&gt;0 AND revenue&gt;0</t>
        </is>
      </c>
      <c r="F28" s="16" t="inlineStr">
        <is>
          <t>flex_status='Active' is weak filter (716K Active products never sold)</t>
        </is>
      </c>
      <c r="G28" s="16" t="inlineStr">
        <is>
          <t>716K SKUs</t>
        </is>
      </c>
      <c r="H28" s="16" t="inlineStr">
        <is>
          <t>INTERNAL WORKAROUND: Combine flex_status with transaction recency (last 90d)</t>
        </is>
      </c>
      <c r="I28" s="16" t="inlineStr">
        <is>
          <t>Internal</t>
        </is>
      </c>
      <c r="J28" s="16" t="inlineStr">
        <is>
          <t>Workaround Planned</t>
        </is>
      </c>
      <c r="K28" s="16" t="inlineStr">
        <is>
          <t>2026-04-20</t>
        </is>
      </c>
      <c r="L28" s="16" t="inlineStr"/>
    </row>
    <row r="29">
      <c r="A29" s="17" t="inlineStr">
        <is>
          <t>PM-T1</t>
        </is>
      </c>
      <c r="B29" s="17" t="inlineStr">
        <is>
          <t>product_master</t>
        </is>
      </c>
      <c r="C29" s="17" t="inlineStr">
        <is>
          <t>P2</t>
        </is>
      </c>
      <c r="D29" s="17" t="inlineStr">
        <is>
          <t>E — Cosmetic</t>
        </is>
      </c>
      <c r="E29" s="17" t="inlineStr">
        <is>
          <t>l8_name has multiple values per l8_id</t>
        </is>
      </c>
      <c r="F29" s="17" t="inlineStr">
        <is>
          <t>l8 naming inconsistency (260K l8_ids have multiple names)</t>
        </is>
      </c>
      <c r="G29" s="17" t="inlineStr">
        <is>
          <t>260K IDs</t>
        </is>
      </c>
      <c r="H29" s="17" t="inlineStr">
        <is>
          <t>Use l8_id for joins; cosmetic name issue</t>
        </is>
      </c>
      <c r="I29" s="17" t="inlineStr">
        <is>
          <t>Internal (noted)</t>
        </is>
      </c>
      <c r="J29" s="17" t="inlineStr">
        <is>
          <t>Workaround Planned</t>
        </is>
      </c>
      <c r="K29" s="17" t="inlineStr">
        <is>
          <t>2026-04-20</t>
        </is>
      </c>
      <c r="L29" s="17" t="inlineStr"/>
    </row>
    <row r="30">
      <c r="A30" s="17" t="inlineStr">
        <is>
          <t>PM-T10</t>
        </is>
      </c>
      <c r="B30" s="17" t="inlineStr">
        <is>
          <t>product_master</t>
        </is>
      </c>
      <c r="C30" s="17" t="inlineStr">
        <is>
          <t>P2</t>
        </is>
      </c>
      <c r="D30" s="17" t="inlineStr">
        <is>
          <t>E — Cosmetic</t>
        </is>
      </c>
      <c r="E30" s="17" t="inlineStr">
        <is>
          <t>designed_for_activity ≈ global_merch_team</t>
        </is>
      </c>
      <c r="F30" s="17" t="inlineStr">
        <is>
          <t>designed_for_activity ≈ global_merch_team (near-duplicates)</t>
        </is>
      </c>
      <c r="G30" s="17" t="inlineStr">
        <is>
          <t>All rows</t>
        </is>
      </c>
      <c r="H30" s="17" t="inlineStr">
        <is>
          <t>Pick designed_for_activity as canonical</t>
        </is>
      </c>
      <c r="I30" s="17" t="inlineStr">
        <is>
          <t>Internal</t>
        </is>
      </c>
      <c r="J30" s="17" t="inlineStr">
        <is>
          <t>Workaround Planned</t>
        </is>
      </c>
      <c r="K30" s="17" t="inlineStr">
        <is>
          <t>2026-04-20</t>
        </is>
      </c>
      <c r="L30" s="17" t="inlineStr"/>
    </row>
    <row r="31">
      <c r="A31" s="17" t="inlineStr">
        <is>
          <t>PM-IVIVVA</t>
        </is>
      </c>
      <c r="B31" s="17" t="inlineStr">
        <is>
          <t>product_master</t>
        </is>
      </c>
      <c r="C31" s="17" t="inlineStr">
        <is>
          <t>P2</t>
        </is>
      </c>
      <c r="D31" s="17" t="inlineStr">
        <is>
          <t>D — Real anomaly</t>
        </is>
      </c>
      <c r="E31" s="17" t="inlineStr">
        <is>
          <t>Deprecated brand still in master</t>
        </is>
      </c>
      <c r="F31" s="17" t="inlineStr">
        <is>
          <t>ivivva brand 100% unsold in 4 years</t>
        </is>
      </c>
      <c r="G31" s="17" t="inlineStr">
        <is>
          <t>~63K SKUs</t>
        </is>
      </c>
      <c r="H31" s="17" t="inlineStr">
        <is>
          <t>Drop ivivva from modeling; request deprecation at source</t>
        </is>
      </c>
      <c r="I31" s="17" t="inlineStr">
        <is>
          <t>Client</t>
        </is>
      </c>
      <c r="J31" s="17" t="inlineStr">
        <is>
          <t>Open</t>
        </is>
      </c>
      <c r="K31" s="17" t="inlineStr">
        <is>
          <t>2026-04-20</t>
        </is>
      </c>
      <c r="L31" s="17" t="inlineStr"/>
    </row>
    <row r="32">
      <c r="A32" s="17" t="inlineStr">
        <is>
          <t>PM-LAB</t>
        </is>
      </c>
      <c r="B32" s="17" t="inlineStr">
        <is>
          <t>product_master</t>
        </is>
      </c>
      <c r="C32" s="17" t="inlineStr">
        <is>
          <t>P2</t>
        </is>
      </c>
      <c r="D32" s="17" t="inlineStr">
        <is>
          <t>D — Real anomaly</t>
        </is>
      </c>
      <c r="E32" s="17" t="inlineStr">
        <is>
          <t>Lab line 97.8% unsold</t>
        </is>
      </c>
      <c r="F32" s="17" t="inlineStr">
        <is>
          <t>Lab line 97.8% unsold</t>
        </is>
      </c>
      <c r="G32" s="17" t="inlineStr">
        <is>
          <t>22K SKUs</t>
        </is>
      </c>
      <c r="H32" s="17" t="inlineStr">
        <is>
          <t>Confirm Lab is still active; consider excluding</t>
        </is>
      </c>
      <c r="I32" s="17" t="inlineStr">
        <is>
          <t>Client</t>
        </is>
      </c>
      <c r="J32" s="17" t="inlineStr">
        <is>
          <t>Open</t>
        </is>
      </c>
      <c r="K32" s="17" t="inlineStr">
        <is>
          <t>2026-04-20</t>
        </is>
      </c>
      <c r="L32" s="17" t="inlineStr"/>
    </row>
    <row r="33">
      <c r="A33" s="17" t="inlineStr">
        <is>
          <t>TM-CHAN</t>
        </is>
      </c>
      <c r="B33" s="17" t="inlineStr">
        <is>
          <t>transaction_master</t>
        </is>
      </c>
      <c r="C33" s="17" t="inlineStr">
        <is>
          <t>P2</t>
        </is>
      </c>
      <c r="D33" s="17" t="inlineStr">
        <is>
          <t>E — Cosmetic</t>
        </is>
      </c>
      <c r="E33" s="17" t="inlineStr">
        <is>
          <t>channel/ws_channel duplicates</t>
        </is>
      </c>
      <c r="F33" s="17" t="inlineStr">
        <is>
          <t>channel vs ws_channel redundant</t>
        </is>
      </c>
      <c r="G33" s="17" t="inlineStr">
        <is>
          <t>All rows</t>
        </is>
      </c>
      <c r="H33" s="17" t="inlineStr">
        <is>
          <t>Use channel_code; drop channel and ws_channel</t>
        </is>
      </c>
      <c r="I33" s="17" t="inlineStr">
        <is>
          <t>Internal</t>
        </is>
      </c>
      <c r="J33" s="17" t="inlineStr">
        <is>
          <t>Workaround Planned</t>
        </is>
      </c>
      <c r="K33" s="17" t="inlineStr">
        <is>
          <t>2026-04-20</t>
        </is>
      </c>
      <c r="L33" s="17" t="inlineStr"/>
    </row>
    <row r="34">
      <c r="A34" s="17" t="inlineStr">
        <is>
          <t>TM-TYPO</t>
        </is>
      </c>
      <c r="B34" s="17" t="inlineStr">
        <is>
          <t>transaction_master</t>
        </is>
      </c>
      <c r="C34" s="17" t="inlineStr">
        <is>
          <t>P2</t>
        </is>
      </c>
      <c r="D34" s="17" t="inlineStr">
        <is>
          <t>E — Cosmetic</t>
        </is>
      </c>
      <c r="E34" s="17" t="inlineStr">
        <is>
          <t>fullfilment spelling typo</t>
        </is>
      </c>
      <c r="F34" s="17" t="inlineStr">
        <is>
          <t>Column typo: fullfilment_location_customer</t>
        </is>
      </c>
      <c r="G34" s="17" t="inlineStr">
        <is>
          <t>—</t>
        </is>
      </c>
      <c r="H34" s="17" t="inlineStr">
        <is>
          <t>Flag for fix in next schema version; use typo'd name for now</t>
        </is>
      </c>
      <c r="I34" s="17" t="inlineStr">
        <is>
          <t>Client</t>
        </is>
      </c>
      <c r="J34" s="17" t="inlineStr">
        <is>
          <t>Open</t>
        </is>
      </c>
      <c r="K34" s="17" t="inlineStr">
        <is>
          <t>2026-04-20</t>
        </is>
      </c>
      <c r="L34" s="17" t="inlineStr"/>
    </row>
    <row r="35">
      <c r="A35" s="17" t="inlineStr">
        <is>
          <t>S2</t>
        </is>
      </c>
      <c r="B35" s="17" t="inlineStr">
        <is>
          <t>store_master</t>
        </is>
      </c>
      <c r="C35" s="17" t="inlineStr">
        <is>
          <t>P2</t>
        </is>
      </c>
      <c r="D35" s="17" t="inlineStr">
        <is>
          <t>B — Build stub</t>
        </is>
      </c>
      <c r="E35" s="17" t="inlineStr">
        <is>
          <t>special_classification = NULL hardcoded</t>
        </is>
      </c>
      <c r="F35" s="17" t="inlineStr">
        <is>
          <t>special_classification 100% NULL</t>
        </is>
      </c>
      <c r="G35" s="17" t="inlineStr">
        <is>
          <t>All rows</t>
        </is>
      </c>
      <c r="H35" s="17" t="inlineStr">
        <is>
          <t>Populate or drop</t>
        </is>
      </c>
      <c r="I35" s="17" t="inlineStr">
        <is>
          <t>Client</t>
        </is>
      </c>
      <c r="J35" s="17" t="inlineStr">
        <is>
          <t>Open</t>
        </is>
      </c>
      <c r="K35" s="17" t="inlineStr">
        <is>
          <t>2026-04-20</t>
        </is>
      </c>
      <c r="L35" s="17" t="inlineStr"/>
    </row>
    <row r="36">
      <c r="A36" s="17" t="inlineStr">
        <is>
          <t>S6</t>
        </is>
      </c>
      <c r="B36" s="17" t="inlineStr">
        <is>
          <t>store_master</t>
        </is>
      </c>
      <c r="C36" s="17" t="inlineStr">
        <is>
          <t>P2</t>
        </is>
      </c>
      <c r="D36" s="17" t="inlineStr">
        <is>
          <t>E — Cosmetic</t>
        </is>
      </c>
      <c r="E36" s="17" t="inlineStr">
        <is>
          <t>lat/long STRING not FLOAT</t>
        </is>
      </c>
      <c r="F36" s="17" t="inlineStr">
        <is>
          <t>lat/long stored as STRING not FLOAT</t>
        </is>
      </c>
      <c r="G36" s="17" t="inlineStr">
        <is>
          <t>1,853 rows</t>
        </is>
      </c>
      <c r="H36" s="17" t="inlineStr">
        <is>
          <t>Type inconsistency</t>
        </is>
      </c>
      <c r="I36" s="17" t="inlineStr">
        <is>
          <t>Client</t>
        </is>
      </c>
      <c r="J36" s="17" t="inlineStr">
        <is>
          <t>Open</t>
        </is>
      </c>
      <c r="K36" s="17" t="inlineStr">
        <is>
          <t>2026-04-20</t>
        </is>
      </c>
      <c r="L36" s="17" t="inlineStr"/>
    </row>
    <row r="37">
      <c r="A37" s="17" t="inlineStr">
        <is>
          <t>S7</t>
        </is>
      </c>
      <c r="B37" s="17" t="inlineStr">
        <is>
          <t>store_master</t>
        </is>
      </c>
      <c r="C37" s="17" t="inlineStr">
        <is>
          <t>P2</t>
        </is>
      </c>
      <c r="D37" s="17" t="inlineStr">
        <is>
          <t>D — Real anomaly</t>
        </is>
      </c>
      <c r="E37" s="17" t="inlineStr">
        <is>
          <t>Virtual store address mismatches</t>
        </is>
      </c>
      <c r="F37" s="17" t="inlineStr">
        <is>
          <t>Geographic mismatches in virtual stores (KR ECOMM city=Hong Kong)</t>
        </is>
      </c>
      <c r="G37" s="17" t="inlineStr">
        <is>
          <t>Handful of stores</t>
        </is>
      </c>
      <c r="H37" s="17" t="inlineStr">
        <is>
          <t>Historical HQ addresses; not functional</t>
        </is>
      </c>
      <c r="I37" s="17" t="inlineStr">
        <is>
          <t>Client (info)</t>
        </is>
      </c>
      <c r="J37" s="17" t="inlineStr">
        <is>
          <t>Open</t>
        </is>
      </c>
      <c r="K37" s="17" t="inlineStr">
        <is>
          <t>2026-04-20</t>
        </is>
      </c>
      <c r="L37" s="17" t="inlineStr"/>
    </row>
    <row r="38">
      <c r="A38" s="17" t="inlineStr">
        <is>
          <t>S8</t>
        </is>
      </c>
      <c r="B38" s="17" t="inlineStr">
        <is>
          <t>store_master</t>
        </is>
      </c>
      <c r="C38" s="17" t="inlineStr">
        <is>
          <t>P2</t>
        </is>
      </c>
      <c r="D38" s="17" t="inlineStr">
        <is>
          <t>E — Cosmetic</t>
        </is>
      </c>
      <c r="E38" s="17" t="inlineStr">
        <is>
          <t>s3_id name inconsistency</t>
        </is>
      </c>
      <c r="F38" s="17" t="inlineStr">
        <is>
          <t>s3_id has 2 IDs with multiple s3_names</t>
        </is>
      </c>
      <c r="G38" s="17" t="inlineStr">
        <is>
          <t>2 IDs</t>
        </is>
      </c>
      <c r="H38" s="17" t="inlineStr">
        <is>
          <t>Minor naming inconsistency</t>
        </is>
      </c>
      <c r="I38" s="17" t="inlineStr">
        <is>
          <t>Client</t>
        </is>
      </c>
      <c r="J38" s="17" t="inlineStr">
        <is>
          <t>Open</t>
        </is>
      </c>
      <c r="K38" s="17" t="inlineStr">
        <is>
          <t>2026-04-20</t>
        </is>
      </c>
      <c r="L38" s="17" t="inlineStr"/>
    </row>
    <row r="39">
      <c r="A39" s="17" t="inlineStr">
        <is>
          <t>S9</t>
        </is>
      </c>
      <c r="B39" s="17" t="inlineStr">
        <is>
          <t>store_master</t>
        </is>
      </c>
      <c r="C39" s="17" t="inlineStr">
        <is>
          <t>P2</t>
        </is>
      </c>
      <c r="D39" s="17" t="inlineStr">
        <is>
          <t>D — Real anomaly</t>
        </is>
      </c>
      <c r="E39" s="17" t="inlineStr">
        <is>
          <t>Placeholder open_dates (1999-12-31)</t>
        </is>
      </c>
      <c r="F39" s="17" t="inlineStr">
        <is>
          <t>Placeholder open_dates (WeChat store shows 1999-12-31)</t>
        </is>
      </c>
      <c r="G39" s="17" t="inlineStr">
        <is>
          <t>Some virtual stores</t>
        </is>
      </c>
      <c r="H39" s="17" t="inlineStr">
        <is>
          <t>Verify open dates</t>
        </is>
      </c>
      <c r="I39" s="17" t="inlineStr">
        <is>
          <t>Client</t>
        </is>
      </c>
      <c r="J39" s="17" t="inlineStr">
        <is>
          <t>Open</t>
        </is>
      </c>
      <c r="K39" s="17" t="inlineStr">
        <is>
          <t>2026-04-20</t>
        </is>
      </c>
      <c r="L39" s="17" t="inlineStr"/>
    </row>
    <row r="40">
      <c r="A40" s="17" t="inlineStr">
        <is>
          <t>C2</t>
        </is>
      </c>
      <c r="B40" s="17" t="inlineStr">
        <is>
          <t>calendar_hierarchy</t>
        </is>
      </c>
      <c r="C40" s="17" t="inlineStr">
        <is>
          <t>P2</t>
        </is>
      </c>
      <c r="D40" s="17" t="inlineStr">
        <is>
          <t>E — Semantics</t>
        </is>
      </c>
      <c r="E40" s="17" t="inlineStr">
        <is>
          <t>201401 sentinel for no-LY-comp</t>
        </is>
      </c>
      <c r="F40" s="17" t="inlineStr">
        <is>
          <t>ADJUSTED_LY_WEEK_ID=201401 sentinel for 371 rows (7.8%)</t>
        </is>
      </c>
      <c r="G40" s="17" t="inlineStr">
        <is>
          <t>371 rows</t>
        </is>
      </c>
      <c r="H40" s="17" t="inlineStr">
        <is>
          <t>Confirm sentinel interpretation (no valid LY comp)</t>
        </is>
      </c>
      <c r="I40" s="17" t="inlineStr">
        <is>
          <t>Client (info)</t>
        </is>
      </c>
      <c r="J40" s="17" t="inlineStr">
        <is>
          <t>Open</t>
        </is>
      </c>
      <c r="K40" s="17" t="inlineStr">
        <is>
          <t>2026-04-20</t>
        </is>
      </c>
      <c r="L40" s="17" t="inlineStr"/>
    </row>
    <row r="41">
      <c r="A41" s="17" t="inlineStr">
        <is>
          <t>I2</t>
        </is>
      </c>
      <c r="B41" s="17" t="inlineStr">
        <is>
          <t>inventory_master</t>
        </is>
      </c>
      <c r="C41" s="17" t="inlineStr">
        <is>
          <t>P2</t>
        </is>
      </c>
      <c r="D41" s="17" t="inlineStr">
        <is>
          <t>B — Build stub</t>
        </is>
      </c>
      <c r="E41" s="17" t="inlineStr">
        <is>
          <t>total_units = oh (same UNITS_ON_HAND source)</t>
        </is>
      </c>
      <c r="F41" s="17" t="inlineStr">
        <is>
          <t>total_units 100% identical to oh — redundant</t>
        </is>
      </c>
      <c r="G41" s="17" t="inlineStr">
        <is>
          <t>All rows</t>
        </is>
      </c>
      <c r="H41" s="17" t="inlineStr">
        <is>
          <t>Drop from schema</t>
        </is>
      </c>
      <c r="I41" s="17" t="inlineStr">
        <is>
          <t>Client</t>
        </is>
      </c>
      <c r="J41" s="17" t="inlineStr">
        <is>
          <t>Open</t>
        </is>
      </c>
      <c r="K41" s="17" t="inlineStr">
        <is>
          <t>2026-04-20</t>
        </is>
      </c>
      <c r="L41" s="17" t="inlineStr"/>
    </row>
    <row r="42">
      <c r="A42" s="17" t="inlineStr">
        <is>
          <t>I6</t>
        </is>
      </c>
      <c r="B42" s="17" t="inlineStr">
        <is>
          <t>inventory_master</t>
        </is>
      </c>
      <c r="C42" s="17" t="inlineStr">
        <is>
          <t>P2</t>
        </is>
      </c>
      <c r="D42" s="17" t="inlineStr">
        <is>
          <t>D — Real anomaly</t>
        </is>
      </c>
      <c r="E42" s="17" t="inlineStr">
        <is>
          <t>SKUs never stocked (new launches/placeholders)</t>
        </is>
      </c>
      <c r="F42" s="17" t="inlineStr">
        <is>
          <t>23,782 SKUs in product_master never had inventory</t>
        </is>
      </c>
      <c r="G42" s="17" t="inlineStr">
        <is>
          <t>23.8K SKUs</t>
        </is>
      </c>
      <c r="H42" s="17" t="inlineStr">
        <is>
          <t>Likely new launches / placeholders</t>
        </is>
      </c>
      <c r="I42" s="17" t="inlineStr">
        <is>
          <t>Client (info)</t>
        </is>
      </c>
      <c r="J42" s="17" t="inlineStr">
        <is>
          <t>Open</t>
        </is>
      </c>
      <c r="K42" s="17" t="inlineStr">
        <is>
          <t>2026-04-20</t>
        </is>
      </c>
      <c r="L42" s="17" t="inlineStr"/>
    </row>
    <row r="43">
      <c r="A43" s="17" t="inlineStr">
        <is>
          <t>I7</t>
        </is>
      </c>
      <c r="B43" s="17" t="inlineStr">
        <is>
          <t>inventory_master</t>
        </is>
      </c>
      <c r="C43" s="17" t="inlineStr">
        <is>
          <t>P2</t>
        </is>
      </c>
      <c r="D43" s="17" t="inlineStr">
        <is>
          <t>D — Real anomaly</t>
        </is>
      </c>
      <c r="E43" s="17" t="inlineStr">
        <is>
          <t>Stores never stocked (inactive/closed)</t>
        </is>
      </c>
      <c r="F43" s="17" t="inlineStr">
        <is>
          <t>467 stores in store_master never had inventory</t>
        </is>
      </c>
      <c r="G43" s="17" t="inlineStr">
        <is>
          <t>467 stores</t>
        </is>
      </c>
      <c r="H43" s="17" t="inlineStr">
        <is>
          <t>Likely inactive/closed/out-of-scope</t>
        </is>
      </c>
      <c r="I43" s="17" t="inlineStr">
        <is>
          <t>Client (info)</t>
        </is>
      </c>
      <c r="J43" s="17" t="inlineStr">
        <is>
          <t>Open</t>
        </is>
      </c>
      <c r="K43" s="17" t="inlineStr">
        <is>
          <t>2026-04-20</t>
        </is>
      </c>
      <c r="L43" s="17" t="inlineStr"/>
    </row>
    <row r="44">
      <c r="A44" s="17" t="inlineStr">
        <is>
          <t>I8</t>
        </is>
      </c>
      <c r="B44" s="17" t="inlineStr">
        <is>
          <t>inventory_master</t>
        </is>
      </c>
      <c r="C44" s="17" t="inlineStr">
        <is>
          <t>P2</t>
        </is>
      </c>
      <c r="D44" s="17" t="inlineStr">
        <is>
          <t>D — Real anomaly</t>
        </is>
      </c>
      <c r="E44" s="17" t="inlineStr">
        <is>
          <t>ivivva 4.5M units across 1,312 stores — stranded?</t>
        </is>
      </c>
      <c r="F44" s="17" t="inlineStr">
        <is>
          <t>8M ivivva inventory rows for deprecated brand</t>
        </is>
      </c>
      <c r="G44" s="17" t="inlineStr">
        <is>
          <t>8M rows</t>
        </is>
      </c>
      <c r="H44" s="17" t="inlineStr">
        <is>
          <t>Legacy stock or current?</t>
        </is>
      </c>
      <c r="I44" s="17" t="inlineStr">
        <is>
          <t>Client</t>
        </is>
      </c>
      <c r="J44" s="17" t="inlineStr">
        <is>
          <t>Open</t>
        </is>
      </c>
      <c r="K44" s="17" t="inlineStr">
        <is>
          <t>2026-04-20</t>
        </is>
      </c>
      <c r="L44" s="17" t="inlineStr"/>
    </row>
    <row r="45">
      <c r="A45" s="18" t="inlineStr">
        <is>
          <t>R-GENDER</t>
        </is>
      </c>
      <c r="B45" s="18" t="inlineStr">
        <is>
          <t>product_master</t>
        </is>
      </c>
      <c r="C45" s="18" t="inlineStr">
        <is>
          <t>Resolved</t>
        </is>
      </c>
      <c r="D45" s="18" t="inlineStr">
        <is>
          <t>R — Self-resolved</t>
        </is>
      </c>
      <c r="E45" s="18" t="inlineStr">
        <is>
          <t>Parse l5_name prefix — 99.96% coverage</t>
        </is>
      </c>
      <c r="F45" s="18" t="inlineStr">
        <is>
          <t>gender 73.4% NULL — SELF-RESOLVED via l5_name derivation</t>
        </is>
      </c>
      <c r="G45" s="18" t="inlineStr">
        <is>
          <t>1.45M rows rescued</t>
        </is>
      </c>
      <c r="H45" s="18" t="inlineStr">
        <is>
          <t>Derivation applied. 99.96% coverage achieved.</t>
        </is>
      </c>
      <c r="I45" s="18" t="inlineStr">
        <is>
          <t>Internal</t>
        </is>
      </c>
      <c r="J45" s="18" t="inlineStr">
        <is>
          <t>Resolved</t>
        </is>
      </c>
      <c r="K45" s="18" t="inlineStr">
        <is>
          <t>2026-04-20</t>
        </is>
      </c>
      <c r="L45" s="18" t="inlineStr">
        <is>
          <t>No client wait needed</t>
        </is>
      </c>
    </row>
    <row r="46">
      <c r="A46" s="18" t="inlineStr">
        <is>
          <t>R-ACTIVE</t>
        </is>
      </c>
      <c r="B46" s="18" t="inlineStr">
        <is>
          <t>product_master</t>
        </is>
      </c>
      <c r="C46" s="18" t="inlineStr">
        <is>
          <t>Resolved</t>
        </is>
      </c>
      <c r="D46" s="18" t="inlineStr">
        <is>
          <t>R — Self-resolved</t>
        </is>
      </c>
      <c r="E46" s="18" t="inlineStr">
        <is>
          <t>Use flex_status IN ('Active','Drop')</t>
        </is>
      </c>
      <c r="F46" s="18" t="inlineStr">
        <is>
          <t>active_flag/article_status uniformly ACTIVE — SELF-RESOLVED</t>
        </is>
      </c>
      <c r="G46" s="18" t="inlineStr">
        <is>
          <t>1.97M rows</t>
        </is>
      </c>
      <c r="H46" s="18" t="inlineStr">
        <is>
          <t>Use flex_status IN ('Active','Drop') instead.</t>
        </is>
      </c>
      <c r="I46" s="18" t="inlineStr">
        <is>
          <t>Internal</t>
        </is>
      </c>
      <c r="J46" s="18" t="inlineStr">
        <is>
          <t>Resolved</t>
        </is>
      </c>
      <c r="K46" s="18" t="inlineStr">
        <is>
          <t>2026-04-20</t>
        </is>
      </c>
      <c r="L46" s="18" t="inlineStr"/>
    </row>
    <row r="47">
      <c r="A47" s="18" t="inlineStr">
        <is>
          <t>R-COLOR</t>
        </is>
      </c>
      <c r="B47" s="18" t="inlineStr">
        <is>
          <t>product_master</t>
        </is>
      </c>
      <c r="C47" s="18" t="inlineStr">
        <is>
          <t>Resolved</t>
        </is>
      </c>
      <c r="D47" s="18" t="inlineStr">
        <is>
          <t>R — Self-resolved</t>
        </is>
      </c>
      <c r="E47" s="18" t="inlineStr">
        <is>
          <t>Parse color_description (100% populated)</t>
        </is>
      </c>
      <c r="F47" s="18" t="inlineStr">
        <is>
          <t>color_family 100% NULL — SELF-RESOLVED</t>
        </is>
      </c>
      <c r="G47" s="18" t="inlineStr">
        <is>
          <t>1.97M rows</t>
        </is>
      </c>
      <c r="H47" s="18" t="inlineStr">
        <is>
          <t>Parse color_description (100% populated, perfect 1:1 with color_code)</t>
        </is>
      </c>
      <c r="I47" s="18" t="inlineStr">
        <is>
          <t>Internal</t>
        </is>
      </c>
      <c r="J47" s="18" t="inlineStr">
        <is>
          <t>Resolved</t>
        </is>
      </c>
      <c r="K47" s="18" t="inlineStr">
        <is>
          <t>2026-04-20</t>
        </is>
      </c>
      <c r="L47" s="18" t="inlineStr"/>
    </row>
    <row r="48">
      <c r="A48" s="18" t="inlineStr">
        <is>
          <t>R-ORPHAN-TXN</t>
        </is>
      </c>
      <c r="B48" s="18" t="inlineStr">
        <is>
          <t>transaction_master</t>
        </is>
      </c>
      <c r="C48" s="18" t="inlineStr">
        <is>
          <t>Resolved</t>
        </is>
      </c>
      <c r="D48" s="18" t="inlineStr">
        <is>
          <t>R — Self-resolved</t>
        </is>
      </c>
      <c r="E48" s="18" t="inlineStr">
        <is>
          <t>Zero orphans — perfect referential integrity</t>
        </is>
      </c>
      <c r="F48" s="18" t="inlineStr">
        <is>
          <t>Orphan SKUs check — CLEAN</t>
        </is>
      </c>
      <c r="G48" s="18" t="inlineStr">
        <is>
          <t>—</t>
        </is>
      </c>
      <c r="H48" s="18" t="inlineStr">
        <is>
          <t>Zero orphans. Perfect referential integrity with product_master.</t>
        </is>
      </c>
      <c r="I48" s="18" t="inlineStr">
        <is>
          <t>Internal</t>
        </is>
      </c>
      <c r="J48" s="18" t="inlineStr">
        <is>
          <t>Resolved</t>
        </is>
      </c>
      <c r="K48" s="18" t="inlineStr">
        <is>
          <t>2026-04-20</t>
        </is>
      </c>
      <c r="L48" s="18" t="inlineStr"/>
    </row>
    <row r="49">
      <c r="A49" s="18" t="inlineStr">
        <is>
          <t>R-ORPHAN-INV</t>
        </is>
      </c>
      <c r="B49" s="18" t="inlineStr">
        <is>
          <t>inventory_master</t>
        </is>
      </c>
      <c r="C49" s="18" t="inlineStr">
        <is>
          <t>Resolved</t>
        </is>
      </c>
      <c r="D49" s="18" t="inlineStr">
        <is>
          <t>R — Self-resolved</t>
        </is>
      </c>
      <c r="E49" s="18" t="inlineStr">
        <is>
          <t>Zero orphans</t>
        </is>
      </c>
      <c r="F49" s="18" t="inlineStr">
        <is>
          <t>Orphan SKUs/stores check — CLEAN</t>
        </is>
      </c>
      <c r="G49" s="18" t="inlineStr">
        <is>
          <t>—</t>
        </is>
      </c>
      <c r="H49" s="18" t="inlineStr">
        <is>
          <t>Zero orphans vs product_master and store_master.</t>
        </is>
      </c>
      <c r="I49" s="18" t="inlineStr">
        <is>
          <t>Internal</t>
        </is>
      </c>
      <c r="J49" s="18" t="inlineStr">
        <is>
          <t>Resolved</t>
        </is>
      </c>
      <c r="K49" s="18" t="inlineStr">
        <is>
          <t>2026-04-20</t>
        </is>
      </c>
      <c r="L49" s="18" t="inlineStr"/>
    </row>
    <row r="50">
      <c r="A50" s="14" t="inlineStr">
        <is>
          <t>C-active-polarity</t>
        </is>
      </c>
      <c r="B50" s="14" t="inlineStr">
        <is>
          <t>store_master</t>
        </is>
      </c>
      <c r="C50" s="14" t="inlineStr">
        <is>
          <t>P0</t>
        </is>
      </c>
      <c r="D50" s="14" t="inlineStr">
        <is>
          <t>C — Build logic</t>
        </is>
      </c>
      <c r="E50" s="14" t="inlineStr">
        <is>
          <t>store_master.active = LOC_CLOSED_IND — verify polarity</t>
        </is>
      </c>
      <c r="F50" s="14" t="inlineStr">
        <is>
          <t>active column is mapped from LOC_CLOSED_IND — polarity may be inverted</t>
        </is>
      </c>
      <c r="G50" s="14" t="inlineStr">
        <is>
          <t>1,853 stores</t>
        </is>
      </c>
      <c r="H50" s="14" t="inlineStr">
        <is>
          <t>Verify LOC_CLOSED_IND meaning (1=closed or 1=open?) — if inverted, every active-store filter is wrong</t>
        </is>
      </c>
      <c r="I50" s="14" t="inlineStr">
        <is>
          <t>Internal DE</t>
        </is>
      </c>
      <c r="J50" s="14" t="inlineStr">
        <is>
          <t>Open</t>
        </is>
      </c>
      <c r="K50" s="14" t="inlineStr">
        <is>
          <t>2026-04-21</t>
        </is>
      </c>
      <c r="L50" s="14" t="inlineStr">
        <is>
          <t>Discovered via master_table_build_logic.md review</t>
        </is>
      </c>
    </row>
    <row r="51">
      <c r="A51" s="16" t="inlineStr">
        <is>
          <t>C-cost-cte</t>
        </is>
      </c>
      <c r="B51" s="16" t="inlineStr">
        <is>
          <t>transaction_master</t>
        </is>
      </c>
      <c r="C51" s="16" t="inlineStr">
        <is>
          <t>P1</t>
        </is>
      </c>
      <c r="D51" s="16" t="inlineStr">
        <is>
          <t>C — Build logic</t>
        </is>
      </c>
      <c r="E51" s="16" t="inlineStr">
        <is>
          <t>transaction_master CTE uses AVG(COST_PRICE) per SKU — is avg the right semantics?</t>
        </is>
      </c>
      <c r="F51" s="16" t="inlineStr">
        <is>
          <t>CTE averages COST_PRICE / SELLING_PRICE per SKU, losing time dimension</t>
        </is>
      </c>
      <c r="G51" s="16" t="inlineStr">
        <is>
          <t>389M rows</t>
        </is>
      </c>
      <c r="H51" s="16" t="inlineStr">
        <is>
          <t>Confirm whether SKU-level AVG is acceptable, or if we need time-aware price snapshots</t>
        </is>
      </c>
      <c r="I51" s="16" t="inlineStr">
        <is>
          <t>Internal DE</t>
        </is>
      </c>
      <c r="J51" s="16" t="inlineStr">
        <is>
          <t>Open</t>
        </is>
      </c>
      <c r="K51" s="16" t="inlineStr">
        <is>
          <t>2026-04-21</t>
        </is>
      </c>
      <c r="L51" s="16" t="inlineStr">
        <is>
          <t>Also: even if semantics OK, upstream sku_details has 0s (see P0-1)</t>
        </is>
      </c>
    </row>
    <row r="52">
      <c r="A52" s="16" t="inlineStr">
        <is>
          <t>B-bundle</t>
        </is>
      </c>
      <c r="B52" s="16" t="inlineStr">
        <is>
          <t>multiple</t>
        </is>
      </c>
      <c r="C52" s="16" t="inlineStr">
        <is>
          <t>P1</t>
        </is>
      </c>
      <c r="D52" s="16" t="inlineStr">
        <is>
          <t>Unclassified</t>
        </is>
      </c>
      <c r="E52" s="16" t="inlineStr"/>
      <c r="F52" s="16" t="inlineStr">
        <is>
          <t>~22 columns hardcoded NULL/0 in master build DDLs</t>
        </is>
      </c>
      <c r="G52" s="16" t="inlineStr">
        <is>
          <t>Various</t>
        </is>
      </c>
      <c r="H52" s="16" t="inlineStr">
        <is>
          <t>Internal DE review: which of these can be populated cheaply from raw tables?</t>
        </is>
      </c>
      <c r="I52" s="16" t="inlineStr">
        <is>
          <t>Internal DE (Ritik)</t>
        </is>
      </c>
      <c r="J52" s="16" t="inlineStr">
        <is>
          <t>Open</t>
        </is>
      </c>
      <c r="K52" s="16" t="inlineStr">
        <is>
          <t>2026-04-21</t>
        </is>
      </c>
      <c r="L52" s="16" t="inlineStr">
        <is>
          <t>See Build Logic Stubs sheet for full list</t>
        </is>
      </c>
    </row>
  </sheetData>
  <autoFilter ref="A4:L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60" customWidth="1" min="4" max="4"/>
    <col width="50" customWidth="1" min="5" max="5"/>
  </cols>
  <sheetData>
    <row r="1">
      <c r="A1" s="5" t="inlineStr">
        <is>
          <t>Build Logic Stubs — Hardcoded NULL/0 in Master DDLs</t>
        </is>
      </c>
    </row>
    <row r="2">
      <c r="A2" s="2" t="inlineStr">
        <is>
          <t>Columns NOT genuinely missing from source — they are hardcoded in the master build. Ask DE whether each can be populated.</t>
        </is>
      </c>
    </row>
    <row r="4" ht="28" customHeight="1">
      <c r="A4" s="6" t="inlineStr">
        <is>
          <t>Master Table</t>
        </is>
      </c>
      <c r="B4" s="6" t="inlineStr">
        <is>
          <t>Column</t>
        </is>
      </c>
      <c r="C4" s="6" t="inlineStr">
        <is>
          <t>Hardcoded Value</t>
        </is>
      </c>
      <c r="D4" s="6" t="inlineStr">
        <is>
          <t>Populatable From (hypothesis)</t>
        </is>
      </c>
      <c r="E4" s="6" t="inlineStr">
        <is>
          <t>Notes</t>
        </is>
      </c>
    </row>
    <row r="5">
      <c r="A5" s="19" t="inlineStr">
        <is>
          <t>product_master</t>
        </is>
      </c>
      <c r="B5" s="19" t="inlineStr">
        <is>
          <t>article_status</t>
        </is>
      </c>
      <c r="C5" s="19" t="inlineStr">
        <is>
          <t>'ACTIVE'</t>
        </is>
      </c>
      <c r="D5" s="19" t="inlineStr">
        <is>
          <t>Could use flex_status; or derive from product_attribute_s</t>
        </is>
      </c>
      <c r="E5" s="19" t="inlineStr">
        <is>
          <t>Use flex_status IN ('Active','Drop') instead</t>
        </is>
      </c>
    </row>
    <row r="6">
      <c r="A6" s="19" t="inlineStr">
        <is>
          <t>product_master</t>
        </is>
      </c>
      <c r="B6" s="19" t="inlineStr">
        <is>
          <t>active_flag</t>
        </is>
      </c>
      <c r="C6" s="19" t="inlineStr">
        <is>
          <t>1</t>
        </is>
      </c>
      <c r="D6" s="19" t="inlineStr">
        <is>
          <t>Same — derive from flex_status</t>
        </is>
      </c>
      <c r="E6" s="19" t="inlineStr">
        <is>
          <t>Useless as filter</t>
        </is>
      </c>
    </row>
    <row r="7">
      <c r="A7" s="19" t="inlineStr">
        <is>
          <t>product_master</t>
        </is>
      </c>
      <c r="B7" s="19" t="inlineStr">
        <is>
          <t>color_family</t>
        </is>
      </c>
      <c r="C7" s="19" t="inlineStr">
        <is>
          <t>NULL</t>
        </is>
      </c>
      <c r="D7" s="19" t="inlineStr">
        <is>
          <t>Parse from color_description (self-resolved)</t>
        </is>
      </c>
      <c r="E7" s="19" t="inlineStr">
        <is>
          <t>R-COLOR already implements this</t>
        </is>
      </c>
    </row>
    <row r="8">
      <c r="A8" s="19" t="inlineStr">
        <is>
          <t>product_master</t>
        </is>
      </c>
      <c r="B8" s="19" t="inlineStr">
        <is>
          <t>ordering</t>
        </is>
      </c>
      <c r="C8" s="19" t="inlineStr">
        <is>
          <t>NULL</t>
        </is>
      </c>
      <c r="D8" s="19" t="inlineStr">
        <is>
          <t>Unknown — ask DE</t>
        </is>
      </c>
      <c r="E8" s="19" t="inlineStr"/>
    </row>
    <row r="9">
      <c r="A9" s="19" t="inlineStr">
        <is>
          <t>product_master</t>
        </is>
      </c>
      <c r="B9" s="19" t="inlineStr">
        <is>
          <t>launch_date</t>
        </is>
      </c>
      <c r="C9" s="19" t="inlineStr">
        <is>
          <t>NULL</t>
        </is>
      </c>
      <c r="D9" s="19" t="inlineStr">
        <is>
          <t>product_group_hierarchy.FIRST_SELLING_DATE (hypothesis) or derive from sku_details</t>
        </is>
      </c>
      <c r="E9" s="19" t="inlineStr">
        <is>
          <t>P0-0 / deferred per user</t>
        </is>
      </c>
    </row>
    <row r="10">
      <c r="A10" s="19" t="inlineStr">
        <is>
          <t>transaction_master</t>
        </is>
      </c>
      <c r="B10" s="19" t="inlineStr">
        <is>
          <t>line_id</t>
        </is>
      </c>
      <c r="C10" s="19" t="inlineStr">
        <is>
          <t>NULL</t>
        </is>
      </c>
      <c r="D10" s="19" t="inlineStr">
        <is>
          <t>sales_transactions.ORDER_LINE_ID (hypothesis)</t>
        </is>
      </c>
      <c r="E10" s="19" t="inlineStr"/>
    </row>
    <row r="11">
      <c r="A11" s="19" t="inlineStr">
        <is>
          <t>transaction_master</t>
        </is>
      </c>
      <c r="B11" s="19" t="inlineStr">
        <is>
          <t>launch_price</t>
        </is>
      </c>
      <c r="C11" s="19" t="inlineStr">
        <is>
          <t>NULL</t>
        </is>
      </c>
      <c r="D11" s="19" t="inlineStr">
        <is>
          <t>price_book</t>
        </is>
      </c>
      <c r="E11" s="19" t="inlineStr"/>
    </row>
    <row r="12">
      <c r="A12" s="19" t="inlineStr">
        <is>
          <t>transaction_master</t>
        </is>
      </c>
      <c r="B12" s="19" t="inlineStr">
        <is>
          <t>transaction_type</t>
        </is>
      </c>
      <c r="C12" s="19" t="inlineStr">
        <is>
          <t>NULL</t>
        </is>
      </c>
      <c r="D12" s="19" t="inlineStr">
        <is>
          <t>sales_transactions.TRANSACTION_TYPE</t>
        </is>
      </c>
      <c r="E12" s="19" t="inlineStr"/>
    </row>
    <row r="13">
      <c r="A13" s="19" t="inlineStr">
        <is>
          <t>transaction_master</t>
        </is>
      </c>
      <c r="B13" s="19" t="inlineStr">
        <is>
          <t>fullfilment_location_customer</t>
        </is>
      </c>
      <c r="C13" s="19" t="inlineStr">
        <is>
          <t>NULL</t>
        </is>
      </c>
      <c r="D13" s="19" t="inlineStr">
        <is>
          <t>sales_transactions (delivery fulfillment) — typo preserved</t>
        </is>
      </c>
      <c r="E13" s="19" t="inlineStr"/>
    </row>
    <row r="14">
      <c r="A14" s="19" t="inlineStr">
        <is>
          <t>transaction_master</t>
        </is>
      </c>
      <c r="B14" s="19" t="inlineStr">
        <is>
          <t>revenue_before_tax</t>
        </is>
      </c>
      <c r="C14" s="19" t="inlineStr">
        <is>
          <t>NULL</t>
        </is>
      </c>
      <c r="D14" s="19" t="inlineStr">
        <is>
          <t>sales_transactions.NET_SALES_AMOUNT (hypothesis)</t>
        </is>
      </c>
      <c r="E14" s="19" t="inlineStr"/>
    </row>
    <row r="15">
      <c r="A15" s="19" t="inlineStr">
        <is>
          <t>transaction_master</t>
        </is>
      </c>
      <c r="B15" s="19" t="inlineStr">
        <is>
          <t>ship_to_country</t>
        </is>
      </c>
      <c r="C15" s="19" t="inlineStr">
        <is>
          <t>NULL</t>
        </is>
      </c>
      <c r="D15" s="19" t="inlineStr">
        <is>
          <t>sales_transactions customer data</t>
        </is>
      </c>
      <c r="E15" s="19" t="inlineStr"/>
    </row>
    <row r="16">
      <c r="A16" s="19" t="inlineStr">
        <is>
          <t>transaction_master</t>
        </is>
      </c>
      <c r="B16" s="19" t="inlineStr">
        <is>
          <t>freight_cost</t>
        </is>
      </c>
      <c r="C16" s="19" t="inlineStr">
        <is>
          <t>NULL</t>
        </is>
      </c>
      <c r="D16" s="19" t="inlineStr">
        <is>
          <t>sales_transactions.SHIPPING_COST (hypothesis)</t>
        </is>
      </c>
      <c r="E16" s="19" t="inlineStr"/>
    </row>
    <row r="17">
      <c r="A17" s="19" t="inlineStr">
        <is>
          <t>transaction_master</t>
        </is>
      </c>
      <c r="B17" s="19" t="inlineStr">
        <is>
          <t>store_contribution</t>
        </is>
      </c>
      <c r="C17" s="19" t="inlineStr">
        <is>
          <t>NULL</t>
        </is>
      </c>
      <c r="D17" s="19" t="inlineStr">
        <is>
          <t>Derived KPI — may come later</t>
        </is>
      </c>
      <c r="E17" s="19" t="inlineStr"/>
    </row>
    <row r="18">
      <c r="A18" s="19" t="inlineStr">
        <is>
          <t>transaction_master</t>
        </is>
      </c>
      <c r="B18" s="19" t="inlineStr">
        <is>
          <t>workstream</t>
        </is>
      </c>
      <c r="C18" s="19" t="inlineStr">
        <is>
          <t>NULL</t>
        </is>
      </c>
      <c r="D18" s="19" t="inlineStr">
        <is>
          <t>Unknown — ask DE</t>
        </is>
      </c>
      <c r="E18" s="19" t="inlineStr"/>
    </row>
    <row r="19">
      <c r="A19" s="19" t="inlineStr">
        <is>
          <t>transaction_master</t>
        </is>
      </c>
      <c r="B19" s="19" t="inlineStr">
        <is>
          <t>currency_exchange_rate</t>
        </is>
      </c>
      <c r="C19" s="19" t="inlineStr">
        <is>
          <t>NULL</t>
        </is>
      </c>
      <c r="D19" s="19" t="inlineStr">
        <is>
          <t>Currency table needed</t>
        </is>
      </c>
      <c r="E19" s="19" t="inlineStr"/>
    </row>
    <row r="20">
      <c r="A20" s="19" t="inlineStr">
        <is>
          <t>transaction_master</t>
        </is>
      </c>
      <c r="B20" s="19" t="inlineStr">
        <is>
          <t>order_type</t>
        </is>
      </c>
      <c r="C20" s="19" t="inlineStr">
        <is>
          <t>NULL</t>
        </is>
      </c>
      <c r="D20" s="19" t="inlineStr">
        <is>
          <t>sales_transactions.ORDER_TYPE (hypothesis)</t>
        </is>
      </c>
      <c r="E20" s="19" t="inlineStr"/>
    </row>
    <row r="21">
      <c r="A21" s="19" t="inlineStr">
        <is>
          <t>transaction_master</t>
        </is>
      </c>
      <c r="B21" s="19" t="inlineStr">
        <is>
          <t>transaction_category</t>
        </is>
      </c>
      <c r="C21" s="19" t="inlineStr">
        <is>
          <t>NULL</t>
        </is>
      </c>
      <c r="D21" s="19" t="inlineStr">
        <is>
          <t>sales_transactions.TXN_CATEGORY (hypothesis)</t>
        </is>
      </c>
      <c r="E21" s="19" t="inlineStr"/>
    </row>
    <row r="22">
      <c r="A22" s="19" t="inlineStr">
        <is>
          <t>transaction_master</t>
        </is>
      </c>
      <c r="B22" s="19" t="inlineStr">
        <is>
          <t>clearance</t>
        </is>
      </c>
      <c r="C22" s="19" t="inlineStr">
        <is>
          <t>0</t>
        </is>
      </c>
      <c r="D22" s="19" t="inlineStr">
        <is>
          <t>price_book.CLEARANCE_PRICE &gt; 0 flag</t>
        </is>
      </c>
      <c r="E22" s="19" t="inlineStr"/>
    </row>
    <row r="23">
      <c r="A23" s="19" t="inlineStr">
        <is>
          <t>transaction_master</t>
        </is>
      </c>
      <c r="B23" s="19" t="inlineStr">
        <is>
          <t>unit_discount_amount</t>
        </is>
      </c>
      <c r="C23" s="19" t="inlineStr">
        <is>
          <t>0</t>
        </is>
      </c>
      <c r="D23" s="19" t="inlineStr">
        <is>
          <t>Derive: price_book.REGULAR_PRICE - transaction.price</t>
        </is>
      </c>
      <c r="E23" s="19" t="inlineStr">
        <is>
          <t>P0-2</t>
        </is>
      </c>
    </row>
    <row r="24">
      <c r="A24" s="19" t="inlineStr">
        <is>
          <t>transaction_master</t>
        </is>
      </c>
      <c r="B24" s="19" t="inlineStr">
        <is>
          <t>total_discount_amount</t>
        </is>
      </c>
      <c r="C24" s="19" t="inlineStr">
        <is>
          <t>0</t>
        </is>
      </c>
      <c r="D24" s="19" t="inlineStr">
        <is>
          <t>Derive from unit_discount_amount * qty</t>
        </is>
      </c>
      <c r="E24" s="19" t="inlineStr">
        <is>
          <t>P0-2</t>
        </is>
      </c>
    </row>
    <row r="25">
      <c r="A25" s="19" t="inlineStr">
        <is>
          <t>transaction_master</t>
        </is>
      </c>
      <c r="B25" s="19" t="inlineStr">
        <is>
          <t>clearance_price</t>
        </is>
      </c>
      <c r="C25" s="19" t="inlineStr">
        <is>
          <t>0</t>
        </is>
      </c>
      <c r="D25" s="19" t="inlineStr">
        <is>
          <t>price_book.CLEARANCE_PRICE</t>
        </is>
      </c>
      <c r="E25" s="19" t="inlineStr">
        <is>
          <t>P0-2</t>
        </is>
      </c>
    </row>
    <row r="26">
      <c r="A26" s="19" t="inlineStr">
        <is>
          <t>transaction_master</t>
        </is>
      </c>
      <c r="B26" s="19" t="inlineStr">
        <is>
          <t>flagged_rows</t>
        </is>
      </c>
      <c r="C26" s="19" t="inlineStr">
        <is>
          <t>0</t>
        </is>
      </c>
      <c r="D26" s="19" t="inlineStr">
        <is>
          <t>Unknown — likely QC flag</t>
        </is>
      </c>
      <c r="E26" s="19" t="inlineStr"/>
    </row>
    <row r="27">
      <c r="A27" s="19" t="inlineStr">
        <is>
          <t>inventory_master</t>
        </is>
      </c>
      <c r="B27" s="19" t="inlineStr">
        <is>
          <t>oo</t>
        </is>
      </c>
      <c r="C27" s="19" t="inlineStr">
        <is>
          <t>0</t>
        </is>
      </c>
      <c r="D27" s="19" t="inlineStr">
        <is>
          <t>purchase_orders? open_orders table?</t>
        </is>
      </c>
      <c r="E27" s="19" t="inlineStr"/>
    </row>
    <row r="28">
      <c r="A28" s="19" t="inlineStr">
        <is>
          <t>inventory_master</t>
        </is>
      </c>
      <c r="B28" s="19" t="inlineStr">
        <is>
          <t>wip</t>
        </is>
      </c>
      <c r="C28" s="19" t="inlineStr">
        <is>
          <t>0</t>
        </is>
      </c>
      <c r="D28" s="19" t="inlineStr">
        <is>
          <t>Work-in-progress — unknown source</t>
        </is>
      </c>
      <c r="E28" s="19" t="inlineStr"/>
    </row>
    <row r="29">
      <c r="A29" s="19" t="inlineStr">
        <is>
          <t>inventory_master</t>
        </is>
      </c>
      <c r="B29" s="19" t="inlineStr">
        <is>
          <t>initial_oh_quantity</t>
        </is>
      </c>
      <c r="C29" s="19" t="inlineStr">
        <is>
          <t>0</t>
        </is>
      </c>
      <c r="D29" s="19" t="inlineStr">
        <is>
          <t>Derive from earliest snapshot date</t>
        </is>
      </c>
      <c r="E29" s="19" t="inlineStr"/>
    </row>
    <row r="30">
      <c r="A30" s="19" t="inlineStr">
        <is>
          <t>inventory_master</t>
        </is>
      </c>
      <c r="B30" s="19" t="inlineStr">
        <is>
          <t>total_units</t>
        </is>
      </c>
      <c r="C30" s="19">
        <f> oh</f>
        <v/>
      </c>
      <c r="D30" s="19" t="inlineStr">
        <is>
          <t>Redundant — drop or redefine (e.g., oh + it + oo)</t>
        </is>
      </c>
      <c r="E30" s="19" t="inlineStr">
        <is>
          <t>Currently: A.UNITS_ON_HAND (same as oh)</t>
        </is>
      </c>
    </row>
    <row r="31">
      <c r="A31" s="19" t="inlineStr">
        <is>
          <t>store_master</t>
        </is>
      </c>
      <c r="B31" s="19" t="inlineStr">
        <is>
          <t>location_attrib_squareft</t>
        </is>
      </c>
      <c r="C31" s="19" t="inlineStr">
        <is>
          <t>0</t>
        </is>
      </c>
      <c r="D31" s="19" t="inlineStr">
        <is>
          <t>location_details? client property data?</t>
        </is>
      </c>
      <c r="E31" s="19" t="inlineStr"/>
    </row>
    <row r="32">
      <c r="A32" s="19" t="inlineStr">
        <is>
          <t>store_master</t>
        </is>
      </c>
      <c r="B32" s="19" t="inlineStr">
        <is>
          <t>special_classification</t>
        </is>
      </c>
      <c r="C32" s="19" t="inlineStr">
        <is>
          <t>NULL</t>
        </is>
      </c>
      <c r="D32" s="19" t="inlineStr">
        <is>
          <t>Unknown — ask DE</t>
        </is>
      </c>
      <c r="E32" s="19" t="inlineStr"/>
    </row>
    <row r="33">
      <c r="A33" s="19" t="inlineStr">
        <is>
          <t>store_master</t>
        </is>
      </c>
      <c r="B33" s="19" t="inlineStr">
        <is>
          <t>company_name</t>
        </is>
      </c>
      <c r="C33" s="19">
        <f> s0_name</f>
        <v/>
      </c>
      <c r="D33" s="19" t="inlineStr">
        <is>
          <t>Redundant</t>
        </is>
      </c>
      <c r="E33" s="19" t="inlineStr">
        <is>
          <t>Same as a.BRAND_NAME</t>
        </is>
      </c>
    </row>
    <row r="34">
      <c r="A34" s="19" t="inlineStr">
        <is>
          <t>store_master</t>
        </is>
      </c>
      <c r="B34" s="19" t="inlineStr">
        <is>
          <t>district_name</t>
        </is>
      </c>
      <c r="C34" s="19">
        <f> s3_name</f>
        <v/>
      </c>
      <c r="D34" s="19" t="inlineStr">
        <is>
          <t>Redundant</t>
        </is>
      </c>
      <c r="E34" s="19" t="inlineStr">
        <is>
          <t>Same as a.AREA_NAME</t>
        </is>
      </c>
    </row>
    <row r="35">
      <c r="A35" s="19" t="inlineStr">
        <is>
          <t>store_master</t>
        </is>
      </c>
      <c r="B35" s="19" t="inlineStr">
        <is>
          <t>region</t>
        </is>
      </c>
      <c r="C35" s="19">
        <f> s4_name</f>
        <v/>
      </c>
      <c r="D35" s="19" t="inlineStr">
        <is>
          <t>Redundant</t>
        </is>
      </c>
      <c r="E35" s="19" t="inlineStr">
        <is>
          <t>Same as a.REGION_NAME</t>
        </is>
      </c>
    </row>
    <row r="36">
      <c r="A36" s="19" t="inlineStr">
        <is>
          <t>store_master</t>
        </is>
      </c>
      <c r="B36" s="19" t="inlineStr">
        <is>
          <t>channel</t>
        </is>
      </c>
      <c r="C36" s="19">
        <f> s1_name</f>
        <v/>
      </c>
      <c r="D36" s="19" t="inlineStr">
        <is>
          <t>Redundant — same SPLIT expression</t>
        </is>
      </c>
      <c r="E36" s="19" t="inlineStr"/>
    </row>
    <row r="37">
      <c r="A37" s="19" t="inlineStr">
        <is>
          <t>store_master</t>
        </is>
      </c>
      <c r="B37" s="19" t="inlineStr">
        <is>
          <t>like_store_id</t>
        </is>
      </c>
      <c r="C37" s="19">
        <f> store_code</f>
        <v/>
      </c>
      <c r="D37" s="19" t="inlineStr">
        <is>
          <t>Self-reference — should be actual like-store lookup?</t>
        </is>
      </c>
      <c r="E37" s="19" t="inlineStr">
        <is>
          <t>Currently: a.loc_id (same as store_code)</t>
        </is>
      </c>
    </row>
  </sheetData>
  <autoFilter ref="A4:E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0" customWidth="1" min="4" max="4"/>
    <col width="18" customWidth="1" min="5" max="5"/>
    <col width="20" customWidth="1" min="6" max="6"/>
    <col width="36" customWidth="1" min="7" max="7"/>
    <col width="18" customWidth="1" min="8" max="8"/>
    <col width="80" customWidth="1" min="9" max="9"/>
  </cols>
  <sheetData>
    <row r="1">
      <c r="A1" s="5" t="inlineStr">
        <is>
          <t>Canonical Raw Tables — 26 tables to work with</t>
        </is>
      </c>
    </row>
    <row r="2">
      <c r="A2" s="2" t="inlineStr">
        <is>
          <t>Sorted by size. Pay attention to Partition/Cluster for cost-aware queries.</t>
        </is>
      </c>
    </row>
    <row r="4" ht="28" customHeight="1">
      <c r="A4" s="6" t="inlineStr">
        <is>
          <t>Table</t>
        </is>
      </c>
      <c r="B4" s="6" t="inlineStr">
        <is>
          <t>Rows</t>
        </is>
      </c>
      <c r="C4" s="6" t="inlineStr">
        <is>
          <t>Size (GB)</t>
        </is>
      </c>
      <c r="D4" s="6" t="inlineStr">
        <is>
          <t>Type</t>
        </is>
      </c>
      <c r="E4" s="6" t="inlineStr">
        <is>
          <t>Partition</t>
        </is>
      </c>
      <c r="F4" s="6" t="inlineStr">
        <is>
          <t>Cluster</t>
        </is>
      </c>
      <c r="G4" s="6" t="inlineStr">
        <is>
          <t>PK / Grain</t>
        </is>
      </c>
      <c r="H4" s="6" t="inlineStr">
        <is>
          <t>EDA Status</t>
        </is>
      </c>
      <c r="I4" s="6" t="inlineStr">
        <is>
          <t>Notes</t>
        </is>
      </c>
    </row>
    <row r="5">
      <c r="A5" s="4" t="inlineStr">
        <is>
          <t>inventory_master</t>
        </is>
      </c>
      <c r="B5" s="4" t="n">
        <v>7214258665</v>
      </c>
      <c r="C5" s="4" t="n">
        <v>650.48</v>
      </c>
      <c r="D5" s="4" t="inlineStr">
        <is>
          <t>BASE</t>
        </is>
      </c>
      <c r="E5" s="4" t="inlineStr">
        <is>
          <t>date</t>
        </is>
      </c>
      <c r="F5" s="4" t="inlineStr">
        <is>
          <t>store_code</t>
        </is>
      </c>
      <c r="G5" s="4" t="inlineStr">
        <is>
          <t>(date, store_code, product_code)</t>
        </is>
      </c>
      <c r="H5" s="17" t="inlineStr">
        <is>
          <t>✅ Phase 1</t>
        </is>
      </c>
      <c r="I5" s="4" t="inlineStr">
        <is>
          <t>7 of 10 cols useful. oh, it, brand, date, store, product. Others are 0 or redundant.</t>
        </is>
      </c>
    </row>
    <row r="6">
      <c r="A6" s="4" t="inlineStr">
        <is>
          <t>eligibility_cleaned_20251119</t>
        </is>
      </c>
      <c r="B6" s="4" t="n">
        <v>2302517438</v>
      </c>
      <c r="C6" s="4" t="n">
        <v>254.79</v>
      </c>
      <c r="D6" s="4" t="inlineStr">
        <is>
          <t>BASE</t>
        </is>
      </c>
      <c r="E6" s="4" t="inlineStr"/>
      <c r="F6" s="4" t="inlineStr"/>
      <c r="G6" s="4" t="inlineStr">
        <is>
          <t>—</t>
        </is>
      </c>
      <c r="H6" s="16" t="inlineStr">
        <is>
          <t>Not yet</t>
        </is>
      </c>
      <c r="I6" s="4" t="inlineStr">
        <is>
          <t>10× bigger than eligibility_20251119 — need to understand</t>
        </is>
      </c>
    </row>
    <row r="7">
      <c r="A7" s="4" t="inlineStr">
        <is>
          <t>returns_transactions_20251119</t>
        </is>
      </c>
      <c r="B7" s="4" t="n">
        <v>733682768</v>
      </c>
      <c r="C7" s="4" t="n">
        <v>78.76000000000001</v>
      </c>
      <c r="D7" s="4" t="inlineStr">
        <is>
          <t>BASE</t>
        </is>
      </c>
      <c r="E7" s="4" t="inlineStr"/>
      <c r="F7" s="4" t="inlineStr"/>
      <c r="G7" s="4" t="inlineStr">
        <is>
          <t>—</t>
        </is>
      </c>
      <c r="H7" s="16" t="inlineStr">
        <is>
          <t>Not yet</t>
        </is>
      </c>
      <c r="I7" s="4" t="inlineStr">
        <is>
          <t>Sample shows all zero units/prices — hypothesis: similar to zero-qty txn pattern</t>
        </is>
      </c>
    </row>
    <row r="8">
      <c r="A8" s="4" t="inlineStr">
        <is>
          <t>transfer_orders_cleaned_20251119</t>
        </is>
      </c>
      <c r="B8" s="4" t="n">
        <v>710271174</v>
      </c>
      <c r="C8" s="4" t="n">
        <v>68.92</v>
      </c>
      <c r="D8" s="4" t="inlineStr">
        <is>
          <t>BASE</t>
        </is>
      </c>
      <c r="E8" s="4" t="inlineStr"/>
      <c r="F8" s="4" t="inlineStr"/>
      <c r="G8" s="4" t="inlineStr">
        <is>
          <t>TRANSFER_ORDER_ID+SKU_ID</t>
        </is>
      </c>
      <c r="H8" s="16" t="inlineStr">
        <is>
          <t>Not yet</t>
        </is>
      </c>
      <c r="I8" s="4" t="inlineStr">
        <is>
          <t>DATE_SHIPPED is STRING (not DATE)</t>
        </is>
      </c>
    </row>
    <row r="9">
      <c r="A9" s="4" t="inlineStr">
        <is>
          <t>price_book</t>
        </is>
      </c>
      <c r="B9" s="4" t="n">
        <v>440496318</v>
      </c>
      <c r="C9" s="4" t="n">
        <v>32.42</v>
      </c>
      <c r="D9" s="4" t="inlineStr">
        <is>
          <t>CLONE</t>
        </is>
      </c>
      <c r="E9" s="4" t="inlineStr"/>
      <c r="F9" s="4" t="inlineStr"/>
      <c r="G9" s="4" t="inlineStr">
        <is>
          <t>STYLE_OPTION_ID+LOC_ID+DATE</t>
        </is>
      </c>
      <c r="H9" s="16" t="inlineStr">
        <is>
          <t>Not yet</t>
        </is>
      </c>
      <c r="I9" s="4" t="inlineStr">
        <is>
          <t>ALL 8 cols are STRING incl prices — cast when using</t>
        </is>
      </c>
    </row>
    <row r="10">
      <c r="A10" s="4" t="inlineStr">
        <is>
          <t>transaction_master</t>
        </is>
      </c>
      <c r="B10" s="4" t="n">
        <v>389872378</v>
      </c>
      <c r="C10" s="4" t="n">
        <v>73.53</v>
      </c>
      <c r="D10" s="4" t="inlineStr">
        <is>
          <t>CLONE</t>
        </is>
      </c>
      <c r="E10" s="4" t="inlineStr">
        <is>
          <t>date</t>
        </is>
      </c>
      <c r="F10" s="4" t="inlineStr">
        <is>
          <t>channel</t>
        </is>
      </c>
      <c r="G10" s="4" t="inlineStr">
        <is>
          <t>transaction_code</t>
        </is>
      </c>
      <c r="H10" s="17" t="inlineStr">
        <is>
          <t>✅ Phase 1-3</t>
        </is>
      </c>
      <c r="I10" s="4" t="inlineStr">
        <is>
          <t>12 cols 100% NULL. Discount/cost/msrp all 0. 27% rows are non-sale events.</t>
        </is>
      </c>
    </row>
    <row r="11">
      <c r="A11" s="4" t="inlineStr">
        <is>
          <t>eligibility_20251119</t>
        </is>
      </c>
      <c r="B11" s="4" t="n">
        <v>241782410</v>
      </c>
      <c r="C11" s="4" t="n">
        <v>14.14</v>
      </c>
      <c r="D11" s="4" t="inlineStr">
        <is>
          <t>BASE</t>
        </is>
      </c>
      <c r="E11" s="4" t="inlineStr"/>
      <c r="F11" s="4" t="inlineStr"/>
      <c r="G11" s="4" t="inlineStr">
        <is>
          <t>—</t>
        </is>
      </c>
      <c r="H11" s="16" t="inlineStr">
        <is>
          <t>Not yet</t>
        </is>
      </c>
      <c r="I11" s="4" t="inlineStr">
        <is>
          <t>Sibling of _cleaned; 10× smaller</t>
        </is>
      </c>
    </row>
    <row r="12">
      <c r="A12" s="4" t="inlineStr">
        <is>
          <t>transfer_orders_new_cleaned</t>
        </is>
      </c>
      <c r="B12" s="4" t="n">
        <v>75893552</v>
      </c>
      <c r="C12" s="4" t="n">
        <v>8.119999999999999</v>
      </c>
      <c r="D12" s="4" t="inlineStr">
        <is>
          <t>BASE</t>
        </is>
      </c>
      <c r="E12" s="4" t="inlineStr"/>
      <c r="F12" s="4" t="inlineStr">
        <is>
          <t>sku_id</t>
        </is>
      </c>
      <c r="G12" s="4" t="inlineStr">
        <is>
          <t>transfer_order_id</t>
        </is>
      </c>
      <c r="H12" s="16" t="inlineStr">
        <is>
          <t>Not yet</t>
        </is>
      </c>
      <c r="I12" s="4" t="inlineStr">
        <is>
          <t>Missing col position 12</t>
        </is>
      </c>
    </row>
    <row r="13">
      <c r="A13" s="4" t="inlineStr">
        <is>
          <t>anaplan_transit_calender_cleaned</t>
        </is>
      </c>
      <c r="B13" s="4" t="n">
        <v>51276624</v>
      </c>
      <c r="C13" s="4" t="n">
        <v>3.93</v>
      </c>
      <c r="D13" s="4" t="inlineStr">
        <is>
          <t>BASE</t>
        </is>
      </c>
      <c r="E13" s="4" t="inlineStr">
        <is>
          <t>Datestring</t>
        </is>
      </c>
      <c r="F13" s="4" t="inlineStr"/>
      <c r="G13" s="4" t="inlineStr">
        <is>
          <t>—</t>
        </is>
      </c>
      <c r="H13" s="16" t="inlineStr">
        <is>
          <t>Not yet</t>
        </is>
      </c>
      <c r="I13" s="4" t="inlineStr">
        <is>
          <t>Table name misspelled (calender)</t>
        </is>
      </c>
    </row>
    <row r="14">
      <c r="A14" s="4" t="inlineStr">
        <is>
          <t>assortment_plan_cleaned</t>
        </is>
      </c>
      <c r="B14" s="4" t="n">
        <v>42594160</v>
      </c>
      <c r="C14" s="4" t="n">
        <v>7.7</v>
      </c>
      <c r="D14" s="4" t="inlineStr">
        <is>
          <t>BASE</t>
        </is>
      </c>
      <c r="E14" s="4" t="inlineStr"/>
      <c r="F14" s="4" t="inlineStr">
        <is>
          <t>SKU_ID</t>
        </is>
      </c>
      <c r="G14" s="4" t="inlineStr">
        <is>
          <t>—</t>
        </is>
      </c>
      <c r="H14" s="16" t="inlineStr">
        <is>
          <t>Not yet</t>
        </is>
      </c>
      <c r="I14" s="4" t="inlineStr">
        <is>
          <t>FLEX_SIZE_VALUE is comma-separated list in one string</t>
        </is>
      </c>
    </row>
    <row r="15">
      <c r="A15" s="4" t="inlineStr">
        <is>
          <t>anaplan_allocation_calendar_cleaned</t>
        </is>
      </c>
      <c r="B15" s="4" t="n">
        <v>39230138</v>
      </c>
      <c r="C15" s="4" t="n">
        <v>7.22</v>
      </c>
      <c r="D15" s="4" t="inlineStr">
        <is>
          <t>BASE</t>
        </is>
      </c>
      <c r="E15" s="4" t="inlineStr"/>
      <c r="F15" s="4" t="inlineStr">
        <is>
          <t>SKU_ID</t>
        </is>
      </c>
      <c r="G15" s="4" t="inlineStr">
        <is>
          <t>—</t>
        </is>
      </c>
      <c r="H15" s="16" t="inlineStr">
        <is>
          <t>Not yet</t>
        </is>
      </c>
      <c r="I15" s="4" t="inlineStr">
        <is>
          <t>Raw version (anaplan_allocation_calender) is EMPTY</t>
        </is>
      </c>
    </row>
    <row r="16">
      <c r="A16" s="4" t="inlineStr">
        <is>
          <t>anaplan_fdod_replen_cleaned</t>
        </is>
      </c>
      <c r="B16" s="4" t="n">
        <v>30918903</v>
      </c>
      <c r="C16" s="4" t="n">
        <v>1.41</v>
      </c>
      <c r="D16" s="4" t="inlineStr">
        <is>
          <t>BASE</t>
        </is>
      </c>
      <c r="E16" s="4" t="inlineStr"/>
      <c r="F16" s="4" t="inlineStr"/>
      <c r="G16" s="4" t="inlineStr">
        <is>
          <t>—</t>
        </is>
      </c>
      <c r="H16" s="16" t="inlineStr">
        <is>
          <t>Not yet</t>
        </is>
      </c>
      <c r="I16" s="4" t="inlineStr">
        <is>
          <t>Column names have spaces (Planning Style Option, Final FDOD)</t>
        </is>
      </c>
    </row>
    <row r="17">
      <c r="A17" s="4" t="inlineStr">
        <is>
          <t>purchase_orders_cleaned_20251119</t>
        </is>
      </c>
      <c r="B17" s="4" t="n">
        <v>20803006</v>
      </c>
      <c r="C17" s="4" t="n">
        <v>2.92</v>
      </c>
      <c r="D17" s="4" t="inlineStr">
        <is>
          <t>BASE</t>
        </is>
      </c>
      <c r="E17" s="4" t="inlineStr"/>
      <c r="F17" s="4" t="inlineStr"/>
      <c r="G17" s="4" t="inlineStr">
        <is>
          <t>PURCHASE_ORDER_ID+SKU_ID</t>
        </is>
      </c>
      <c r="H17" s="16" t="inlineStr">
        <is>
          <t>Not yet</t>
        </is>
      </c>
      <c r="I17" s="4" t="inlineStr"/>
    </row>
    <row r="18">
      <c r="A18" s="4" t="inlineStr">
        <is>
          <t>anaplan_fdod_alloc_cleaned</t>
        </is>
      </c>
      <c r="B18" s="4" t="n">
        <v>16032486</v>
      </c>
      <c r="C18" s="4" t="n">
        <v>1.44</v>
      </c>
      <c r="D18" s="4" t="inlineStr">
        <is>
          <t>BASE</t>
        </is>
      </c>
      <c r="E18" s="4" t="inlineStr"/>
      <c r="F18" s="4" t="inlineStr">
        <is>
          <t>SKU_ID</t>
        </is>
      </c>
      <c r="G18" s="4" t="inlineStr">
        <is>
          <t>—</t>
        </is>
      </c>
      <c r="H18" s="16" t="inlineStr">
        <is>
          <t>Not yet</t>
        </is>
      </c>
      <c r="I18" s="4" t="inlineStr"/>
    </row>
    <row r="19">
      <c r="A19" s="4" t="inlineStr">
        <is>
          <t>product_group_hierarchy</t>
        </is>
      </c>
      <c r="B19" s="4" t="n">
        <v>11460436</v>
      </c>
      <c r="C19" s="4" t="n">
        <v>0.61</v>
      </c>
      <c r="D19" s="4" t="inlineStr">
        <is>
          <t>BASE</t>
        </is>
      </c>
      <c r="E19" s="4" t="inlineStr"/>
      <c r="F19" s="4" t="inlineStr"/>
      <c r="G19" s="4" t="inlineStr">
        <is>
          <t>—</t>
        </is>
      </c>
      <c r="H19" s="16" t="inlineStr">
        <is>
          <t>Not yet</t>
        </is>
      </c>
      <c r="I19" s="4" t="inlineStr">
        <is>
          <t>Long-format version of product_master hierarchy</t>
        </is>
      </c>
    </row>
    <row r="20">
      <c r="A20" s="4" t="inlineStr">
        <is>
          <t>anaplan_min_pres_cleaned</t>
        </is>
      </c>
      <c r="B20" s="4" t="n">
        <v>8839533</v>
      </c>
      <c r="C20" s="4" t="n">
        <v>1.36</v>
      </c>
      <c r="D20" s="4" t="inlineStr">
        <is>
          <t>BASE</t>
        </is>
      </c>
      <c r="E20" s="4" t="inlineStr"/>
      <c r="F20" s="4" t="inlineStr"/>
      <c r="G20" s="4" t="inlineStr">
        <is>
          <t>—</t>
        </is>
      </c>
      <c r="H20" s="16" t="inlineStr">
        <is>
          <t>Not yet</t>
        </is>
      </c>
      <c r="I20" s="4" t="inlineStr">
        <is>
          <t>Min presentation qty per size</t>
        </is>
      </c>
    </row>
    <row r="21">
      <c r="A21" s="4" t="inlineStr">
        <is>
          <t>product_master</t>
        </is>
      </c>
      <c r="B21" s="4" t="n">
        <v>1977528</v>
      </c>
      <c r="C21" s="4" t="n">
        <v>1.05</v>
      </c>
      <c r="D21" s="4" t="inlineStr">
        <is>
          <t>CLONE</t>
        </is>
      </c>
      <c r="E21" s="4" t="inlineStr"/>
      <c r="F21" s="4" t="inlineStr"/>
      <c r="G21" s="4" t="inlineStr">
        <is>
          <t>product_code</t>
        </is>
      </c>
      <c r="H21" s="17" t="inlineStr">
        <is>
          <t>✅ Phase 1-3</t>
        </is>
      </c>
      <c r="I21" s="4" t="inlineStr">
        <is>
          <t>20 meaningful cols. 4 cols 100% NULL (launch_date, color_family, ordering, special_class)</t>
        </is>
      </c>
    </row>
    <row r="22">
      <c r="A22" s="4" t="inlineStr">
        <is>
          <t>sku_details_cleaned</t>
        </is>
      </c>
      <c r="B22" s="4" t="n">
        <v>1977528</v>
      </c>
      <c r="C22" s="4" t="n">
        <v>0.61</v>
      </c>
      <c r="D22" s="4" t="inlineStr">
        <is>
          <t>CLONE</t>
        </is>
      </c>
      <c r="E22" s="4" t="inlineStr"/>
      <c r="F22" s="4" t="inlineStr"/>
      <c r="G22" s="4" t="inlineStr">
        <is>
          <t>ID or sku_id_code</t>
        </is>
      </c>
      <c r="H22" s="16" t="inlineStr">
        <is>
          <t>Not yet</t>
        </is>
      </c>
      <c r="I22" s="4" t="inlineStr">
        <is>
          <t>Parallel to product_master — same row count! Different columns</t>
        </is>
      </c>
    </row>
    <row r="23">
      <c r="A23" s="4" t="inlineStr">
        <is>
          <t>dc_store_mapping_cleaned_20251119</t>
        </is>
      </c>
      <c r="B23" s="4" t="n">
        <v>1110005</v>
      </c>
      <c r="C23" s="4" t="n">
        <v>0.07000000000000001</v>
      </c>
      <c r="D23" s="4" t="inlineStr">
        <is>
          <t>BASE</t>
        </is>
      </c>
      <c r="E23" s="4" t="inlineStr"/>
      <c r="F23" s="4" t="inlineStr"/>
      <c r="G23" s="4" t="inlineStr">
        <is>
          <t>—</t>
        </is>
      </c>
      <c r="H23" s="16" t="inlineStr">
        <is>
          <t>Not yet</t>
        </is>
      </c>
      <c r="I23" s="4" t="inlineStr">
        <is>
          <t>Raw dc_store_mapping is EMPTY</t>
        </is>
      </c>
    </row>
    <row r="24">
      <c r="A24" s="4" t="inlineStr">
        <is>
          <t>style_option_20251119</t>
        </is>
      </c>
      <c r="B24" s="4" t="n">
        <v>469512</v>
      </c>
      <c r="C24" s="4" t="n">
        <v>0.05</v>
      </c>
      <c r="D24" s="4" t="inlineStr">
        <is>
          <t>BASE</t>
        </is>
      </c>
      <c r="E24" s="4" t="inlineStr"/>
      <c r="F24" s="4" t="inlineStr"/>
      <c r="G24" s="4" t="inlineStr">
        <is>
          <t>STYLE_OPTION_ID</t>
        </is>
      </c>
      <c r="H24" s="16" t="inlineStr">
        <is>
          <t>Not yet</t>
        </is>
      </c>
      <c r="I24" s="4" t="inlineStr"/>
    </row>
    <row r="25">
      <c r="A25" s="4" t="inlineStr">
        <is>
          <t>promotional_events_cleaned_20251119</t>
        </is>
      </c>
      <c r="B25" s="4" t="n">
        <v>448134</v>
      </c>
      <c r="C25" s="4" t="n">
        <v>0.03</v>
      </c>
      <c r="D25" s="4" t="inlineStr">
        <is>
          <t>BASE</t>
        </is>
      </c>
      <c r="E25" s="4" t="inlineStr"/>
      <c r="F25" s="4" t="inlineStr"/>
      <c r="G25" s="4" t="inlineStr">
        <is>
          <t>LOC_ID+NAME+START_DATE</t>
        </is>
      </c>
      <c r="H25" s="16" t="inlineStr">
        <is>
          <t>Not yet</t>
        </is>
      </c>
      <c r="I25" s="4" t="inlineStr">
        <is>
          <t>Holidays &amp; store closures</t>
        </is>
      </c>
    </row>
    <row r="26">
      <c r="A26" s="4" t="inlineStr">
        <is>
          <t>spatial_ai_cleaned</t>
        </is>
      </c>
      <c r="B26" s="4" t="n">
        <v>22798</v>
      </c>
      <c r="C26" s="4" t="n">
        <v>0.01</v>
      </c>
      <c r="D26" s="4" t="inlineStr">
        <is>
          <t>BASE</t>
        </is>
      </c>
      <c r="E26" s="4" t="inlineStr"/>
      <c r="F26" s="4" t="inlineStr"/>
      <c r="G26" s="4" t="inlineStr">
        <is>
          <t>QUARTER_ID+LOCATION_ID</t>
        </is>
      </c>
      <c r="H26" s="16" t="inlineStr">
        <is>
          <t>Not yet</t>
        </is>
      </c>
      <c r="I26" s="4" t="inlineStr">
        <is>
          <t>48 consumer-demography scores (Sweet Treats, Yoga Advocates, etc). EF03/EF04 are STRING.</t>
        </is>
      </c>
    </row>
    <row r="27">
      <c r="A27" s="4" t="inlineStr">
        <is>
          <t>anaplan_store_priority_cleaned</t>
        </is>
      </c>
      <c r="B27" s="4" t="n">
        <v>8828</v>
      </c>
      <c r="C27" s="4" t="n">
        <v>0</v>
      </c>
      <c r="D27" s="4" t="inlineStr">
        <is>
          <t>BASE</t>
        </is>
      </c>
      <c r="E27" s="4" t="inlineStr"/>
      <c r="F27" s="4" t="inlineStr"/>
      <c r="G27" s="4" t="inlineStr">
        <is>
          <t>store_code+division_code</t>
        </is>
      </c>
      <c r="H27" s="16" t="inlineStr">
        <is>
          <t>Not yet</t>
        </is>
      </c>
      <c r="I27" s="4" t="inlineStr"/>
    </row>
    <row r="28">
      <c r="A28" s="4" t="inlineStr">
        <is>
          <t>calendar_hierarchy</t>
        </is>
      </c>
      <c r="B28" s="4" t="n">
        <v>4746</v>
      </c>
      <c r="C28" s="4" t="n">
        <v>0</v>
      </c>
      <c r="D28" s="4" t="inlineStr">
        <is>
          <t>BASE</t>
        </is>
      </c>
      <c r="E28" s="4" t="inlineStr"/>
      <c r="F28" s="4" t="inlineStr"/>
      <c r="G28" s="4" t="inlineStr">
        <is>
          <t>DAY_ID</t>
        </is>
      </c>
      <c r="H28" s="17" t="inlineStr">
        <is>
          <t>✅ Complete</t>
        </is>
      </c>
      <c r="I28" s="4" t="inlineStr">
        <is>
          <t>PRISTINE. 13 FY years (2015-2027). 53-week years: FY18, FY24.</t>
        </is>
      </c>
    </row>
    <row r="29">
      <c r="A29" s="4" t="inlineStr">
        <is>
          <t>store_master</t>
        </is>
      </c>
      <c r="B29" s="4" t="n">
        <v>1853</v>
      </c>
      <c r="C29" s="4" t="n">
        <v>0</v>
      </c>
      <c r="D29" s="4" t="inlineStr">
        <is>
          <t>CLONE</t>
        </is>
      </c>
      <c r="E29" s="4" t="inlineStr"/>
      <c r="F29" s="4" t="inlineStr"/>
      <c r="G29" s="4" t="inlineStr">
        <is>
          <t>store_code</t>
        </is>
      </c>
      <c r="H29" s="17" t="inlineStr">
        <is>
          <t>✅ Phase 1</t>
        </is>
      </c>
      <c r="I29" s="4" t="inlineStr">
        <is>
          <t>10 virtual ECOMM stores identified. Tmall/WeChat/JD = 45186/45187/45189</t>
        </is>
      </c>
    </row>
    <row r="30">
      <c r="A30" s="4" t="inlineStr">
        <is>
          <t>min_pres_eol</t>
        </is>
      </c>
      <c r="B30" s="4" t="n">
        <v>99</v>
      </c>
      <c r="C30" s="4" t="n">
        <v>0</v>
      </c>
      <c r="D30" s="4" t="inlineStr">
        <is>
          <t>BASE</t>
        </is>
      </c>
      <c r="E30" s="4" t="inlineStr"/>
      <c r="F30" s="4" t="inlineStr"/>
      <c r="G30" s="4" t="inlineStr">
        <is>
          <t>—</t>
        </is>
      </c>
      <c r="H30" s="16" t="inlineStr">
        <is>
          <t>Not yet</t>
        </is>
      </c>
      <c r="I30" s="4" t="inlineStr">
        <is>
          <t>Tiny reference table</t>
        </is>
      </c>
    </row>
  </sheetData>
  <autoFilter ref="A4:I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22" customWidth="1" min="3" max="3"/>
    <col width="70" customWidth="1" min="4" max="4"/>
    <col width="60" customWidth="1" min="5" max="5"/>
  </cols>
  <sheetData>
    <row r="1">
      <c r="A1" s="5" t="inlineStr">
        <is>
          <t>Data Quirks &amp; Sentinels</t>
        </is>
      </c>
    </row>
    <row r="2">
      <c r="A2" s="2" t="inlineStr">
        <is>
          <t>Known pitfalls when writing queries. Read before modeling.</t>
        </is>
      </c>
    </row>
    <row r="4" ht="28" customHeight="1">
      <c r="A4" s="6" t="inlineStr">
        <is>
          <t>Table</t>
        </is>
      </c>
      <c r="B4" s="6" t="inlineStr">
        <is>
          <t>Column(s)</t>
        </is>
      </c>
      <c r="C4" s="6" t="inlineStr">
        <is>
          <t>Quirk Type</t>
        </is>
      </c>
      <c r="D4" s="6" t="inlineStr">
        <is>
          <t>Description</t>
        </is>
      </c>
      <c r="E4" s="6" t="inlineStr">
        <is>
          <t>Mitigation</t>
        </is>
      </c>
    </row>
    <row r="5">
      <c r="A5" s="4" t="inlineStr">
        <is>
          <t>product_master</t>
        </is>
      </c>
      <c r="B5" s="4" t="inlineStr">
        <is>
          <t>gender</t>
        </is>
      </c>
      <c r="C5" s="4" t="inlineStr">
        <is>
          <t>NULL sentinel</t>
        </is>
      </c>
      <c r="D5" s="4" t="inlineStr">
        <is>
          <t>\N literal 2-char string used for 73.4% of rows (IS NULL doesn't catch)</t>
        </is>
      </c>
      <c r="E5" s="4" t="inlineStr">
        <is>
          <t>Use (gender IS NULL OR gender = '' OR gender = '\\N') in null checks</t>
        </is>
      </c>
    </row>
    <row r="6">
      <c r="A6" s="4" t="inlineStr">
        <is>
          <t>assortment_plan_cleaned</t>
        </is>
      </c>
      <c r="B6" s="4" t="inlineStr">
        <is>
          <t>PLANNING_STYLE_OPTION</t>
        </is>
      </c>
      <c r="C6" s="4" t="inlineStr">
        <is>
          <t>NULL sentinel</t>
        </is>
      </c>
      <c r="D6" s="4" t="inlineStr">
        <is>
          <t>\N literal string for null</t>
        </is>
      </c>
      <c r="E6" s="4" t="inlineStr">
        <is>
          <t>Same as above</t>
        </is>
      </c>
    </row>
    <row r="7">
      <c r="A7" s="4" t="inlineStr">
        <is>
          <t>price_book</t>
        </is>
      </c>
      <c r="B7" s="4" t="inlineStr">
        <is>
          <t>EFFECTIVE_TO_DAY_ID</t>
        </is>
      </c>
      <c r="C7" s="4" t="inlineStr">
        <is>
          <t>Date sentinel</t>
        </is>
      </c>
      <c r="D7" s="4" t="inlineStr">
        <is>
          <t>9999-12-31 = 'no end date' (open-ended price)</t>
        </is>
      </c>
      <c r="E7" s="4" t="inlineStr">
        <is>
          <t>Filter: != '9999-12-31' when filtering closed prices</t>
        </is>
      </c>
    </row>
    <row r="8">
      <c r="A8" s="4" t="inlineStr">
        <is>
          <t>price_book</t>
        </is>
      </c>
      <c r="B8" s="4" t="inlineStr">
        <is>
          <t>All 8 columns</t>
        </is>
      </c>
      <c r="C8" s="4" t="inlineStr">
        <is>
          <t>Wrong type</t>
        </is>
      </c>
      <c r="D8" s="4" t="inlineStr">
        <is>
          <t>All columns are STRING — including ORIGINAL_PRICE, REGULAR_PRICE, CLEARANCE_PRICE</t>
        </is>
      </c>
      <c r="E8" s="4" t="inlineStr">
        <is>
          <t>CAST to FLOAT64 when using; handle \N for clearance</t>
        </is>
      </c>
    </row>
    <row r="9">
      <c r="A9" s="4" t="inlineStr">
        <is>
          <t>store_master</t>
        </is>
      </c>
      <c r="B9" s="4" t="inlineStr">
        <is>
          <t>open_date, close_date</t>
        </is>
      </c>
      <c r="C9" s="4" t="inlineStr">
        <is>
          <t>Wrong type</t>
        </is>
      </c>
      <c r="D9" s="4" t="inlineStr">
        <is>
          <t>STRING format, not DATE. Values are ISO-8601 'YYYY-MM-DD'.</t>
        </is>
      </c>
      <c r="E9" s="4" t="inlineStr">
        <is>
          <t>SAFE.PARSE_DATE('%Y-%m-%d', open_date) to cast</t>
        </is>
      </c>
    </row>
    <row r="10">
      <c r="A10" s="4" t="inlineStr">
        <is>
          <t>store_master</t>
        </is>
      </c>
      <c r="B10" s="4" t="inlineStr">
        <is>
          <t>latitude, longitude</t>
        </is>
      </c>
      <c r="C10" s="4" t="inlineStr">
        <is>
          <t>Wrong type</t>
        </is>
      </c>
      <c r="D10" s="4" t="inlineStr">
        <is>
          <t>STRING not FLOAT64</t>
        </is>
      </c>
      <c r="E10" s="4" t="inlineStr">
        <is>
          <t>CAST if used for geo math</t>
        </is>
      </c>
    </row>
    <row r="11">
      <c r="A11" s="4" t="inlineStr">
        <is>
          <t>store_master</t>
        </is>
      </c>
      <c r="B11" s="4" t="inlineStr">
        <is>
          <t>open_date (WeChat store)</t>
        </is>
      </c>
      <c r="C11" s="4" t="inlineStr">
        <is>
          <t>Placeholder date</t>
        </is>
      </c>
      <c r="D11" s="4" t="inlineStr">
        <is>
          <t>Some virtual stores have open_date='1999-12-31' — platform didn't exist then</t>
        </is>
      </c>
      <c r="E11" s="4" t="inlineStr">
        <is>
          <t>Verify with client; don't trust pre-2010 virtual store open dates</t>
        </is>
      </c>
    </row>
    <row r="12">
      <c r="A12" s="4" t="inlineStr">
        <is>
          <t>transfer_orders_cleaned_20251119</t>
        </is>
      </c>
      <c r="B12" s="4" t="inlineStr">
        <is>
          <t>DATE_SHIPPED</t>
        </is>
      </c>
      <c r="C12" s="4" t="inlineStr">
        <is>
          <t>Wrong type</t>
        </is>
      </c>
      <c r="D12" s="4" t="inlineStr">
        <is>
          <t>STRING, while sibling DATE_RECEIVED and DATE_CREATED are DATE</t>
        </is>
      </c>
      <c r="E12" s="4" t="inlineStr">
        <is>
          <t>CAST to DATE when using</t>
        </is>
      </c>
    </row>
    <row r="13">
      <c r="A13" s="4" t="inlineStr">
        <is>
          <t>dc_store_mapping_cleaned_20251119</t>
        </is>
      </c>
      <c r="B13" s="4" t="inlineStr">
        <is>
          <t>SECONDARY_DC_*</t>
        </is>
      </c>
      <c r="C13" s="4" t="inlineStr">
        <is>
          <t>Wrong type</t>
        </is>
      </c>
      <c r="D13" s="4" t="inlineStr">
        <is>
          <t>Secondary DC fields are STRING (INT64 sibling primary fields)</t>
        </is>
      </c>
      <c r="E13" s="4" t="inlineStr">
        <is>
          <t>CAST as needed</t>
        </is>
      </c>
    </row>
    <row r="14">
      <c r="A14" s="4" t="inlineStr">
        <is>
          <t>spatial_ai_cleaned</t>
        </is>
      </c>
      <c r="B14" s="4" t="inlineStr">
        <is>
          <t>EF03_AWESTRUCK, EF04_HAPPY_PLACE</t>
        </is>
      </c>
      <c r="C14" s="4" t="inlineStr">
        <is>
          <t>Wrong type</t>
        </is>
      </c>
      <c r="D14" s="4" t="inlineStr">
        <is>
          <t>STRING while other 47 behavioral score columns are FLOAT64</t>
        </is>
      </c>
      <c r="E14" s="4" t="inlineStr">
        <is>
          <t>CAST to FLOAT64 before numerical use</t>
        </is>
      </c>
    </row>
    <row r="15">
      <c r="A15" s="4" t="inlineStr">
        <is>
          <t>transaction_master</t>
        </is>
      </c>
      <c r="B15" s="4" t="inlineStr">
        <is>
          <t>fullfilment_location_customer</t>
        </is>
      </c>
      <c r="C15" s="4" t="inlineStr">
        <is>
          <t>Column name typo</t>
        </is>
      </c>
      <c r="D15" s="4" t="inlineStr">
        <is>
          <t>Should be 'fulfillment'. 100% NULL anyway.</t>
        </is>
      </c>
      <c r="E15" s="4" t="inlineStr">
        <is>
          <t>Use typo as-is in queries; don't 'fix' name</t>
        </is>
      </c>
    </row>
    <row r="16">
      <c r="A16" s="4" t="inlineStr">
        <is>
          <t>anaplan_transit_calender_cleaned</t>
        </is>
      </c>
      <c r="B16" s="4" t="inlineStr">
        <is>
          <t>Table name</t>
        </is>
      </c>
      <c r="C16" s="4" t="inlineStr">
        <is>
          <t>Table name typo</t>
        </is>
      </c>
      <c r="D16" s="4" t="inlineStr">
        <is>
          <t>'calender' instead of 'calendar'. Dataset-wide.</t>
        </is>
      </c>
      <c r="E16" s="4" t="inlineStr">
        <is>
          <t>Use typo as-is</t>
        </is>
      </c>
    </row>
    <row r="17">
      <c r="A17" s="4" t="inlineStr">
        <is>
          <t>dataset name</t>
        </is>
      </c>
      <c r="B17" s="4" t="inlineStr">
        <is>
          <t>souricng</t>
        </is>
      </c>
      <c r="C17" s="4" t="inlineStr">
        <is>
          <t>Dataset name typo</t>
        </is>
      </c>
      <c r="D17" s="4" t="inlineStr">
        <is>
          <t>Actual dataset is lululemon_souricng_outbound (not 'sourcing')</t>
        </is>
      </c>
      <c r="E17" s="4" t="inlineStr">
        <is>
          <t>Use as-is</t>
        </is>
      </c>
    </row>
    <row r="18">
      <c r="A18" s="4" t="inlineStr">
        <is>
          <t>anaplan_fdod_replen_cleaned</t>
        </is>
      </c>
      <c r="B18" s="4" t="inlineStr">
        <is>
          <t>Planning Style Option, Final FDOD</t>
        </is>
      </c>
      <c r="C18" s="4" t="inlineStr">
        <is>
          <t>Column names with spaces</t>
        </is>
      </c>
      <c r="D18" s="4" t="inlineStr">
        <is>
          <t>Column names contain spaces</t>
        </is>
      </c>
      <c r="E18" s="4" t="inlineStr">
        <is>
          <t>Quote with backticks: `Planning Style Option`, `Final FDOD`</t>
        </is>
      </c>
    </row>
    <row r="19">
      <c r="A19" s="4" t="inlineStr">
        <is>
          <t>min_pres_eol</t>
        </is>
      </c>
      <c r="B19" s="4" t="inlineStr">
        <is>
          <t>Min Pres, Size</t>
        </is>
      </c>
      <c r="C19" s="4" t="inlineStr">
        <is>
          <t>Column names with spaces</t>
        </is>
      </c>
      <c r="D19" s="4" t="inlineStr">
        <is>
          <t>Column names contain spaces</t>
        </is>
      </c>
      <c r="E19" s="4" t="inlineStr">
        <is>
          <t>Quote with backticks</t>
        </is>
      </c>
    </row>
    <row r="20">
      <c r="A20" s="4" t="inlineStr">
        <is>
          <t>transaction_master</t>
        </is>
      </c>
      <c r="B20" s="4" t="inlineStr">
        <is>
          <t>channel vs ws_channel</t>
        </is>
      </c>
      <c r="C20" s="4" t="inlineStr">
        <is>
          <t>Redundant columns</t>
        </is>
      </c>
      <c r="D20" s="4" t="inlineStr">
        <is>
          <t>Same values, different spelling (ECOMM vs ECOM)</t>
        </is>
      </c>
      <c r="E20" s="4" t="inlineStr">
        <is>
          <t>Use channel_code (12 values, most granular) instead</t>
        </is>
      </c>
    </row>
    <row r="21">
      <c r="A21" s="4" t="inlineStr">
        <is>
          <t>inventory_master</t>
        </is>
      </c>
      <c r="B21" s="4" t="inlineStr">
        <is>
          <t>total_units = oh (100%)</t>
        </is>
      </c>
      <c r="C21" s="4" t="inlineStr">
        <is>
          <t>Redundant column</t>
        </is>
      </c>
      <c r="D21" s="4" t="inlineStr">
        <is>
          <t>total_units is identical to oh in every row</t>
        </is>
      </c>
      <c r="E21" s="4" t="inlineStr">
        <is>
          <t>Drop total_units from downstream use</t>
        </is>
      </c>
    </row>
    <row r="22">
      <c r="A22" s="4" t="inlineStr">
        <is>
          <t>inventory_master</t>
        </is>
      </c>
      <c r="B22" s="4" t="inlineStr">
        <is>
          <t>oo, wip, initial_oh_quantity</t>
        </is>
      </c>
      <c r="C22" s="4" t="inlineStr">
        <is>
          <t>100% zero</t>
        </is>
      </c>
      <c r="D22" s="4" t="inlineStr">
        <is>
          <t>All three columns are 0 across all 7.2B rows</t>
        </is>
      </c>
      <c r="E22" s="4" t="inlineStr">
        <is>
          <t>Drop from downstream use</t>
        </is>
      </c>
    </row>
    <row r="23">
      <c r="A23" s="4" t="inlineStr">
        <is>
          <t>transaction_master</t>
        </is>
      </c>
      <c r="B23" s="4" t="inlineStr">
        <is>
          <t>12 INT64 columns</t>
        </is>
      </c>
      <c r="C23" s="4" t="inlineStr">
        <is>
          <t>100% NULL</t>
        </is>
      </c>
      <c r="D23" s="4" t="inlineStr">
        <is>
          <t>line_id, launch_price, transaction_type, revenue_before_tax, freight_cost, etc.</t>
        </is>
      </c>
      <c r="E23" s="4" t="inlineStr">
        <is>
          <t>Ignore</t>
        </is>
      </c>
    </row>
    <row r="24">
      <c r="A24" s="4" t="inlineStr">
        <is>
          <t>transaction_master</t>
        </is>
      </c>
      <c r="B24" s="4" t="inlineStr">
        <is>
          <t>qty/revenue/price</t>
        </is>
      </c>
      <c r="C24" s="4" t="inlineStr">
        <is>
          <t>Zero-event overlap</t>
        </is>
      </c>
      <c r="D24" s="4" t="inlineStr">
        <is>
          <t>27% of rows have qty=0 AND price=0 AND revenue=0 (non-sale events)</t>
        </is>
      </c>
      <c r="E24" s="4" t="inlineStr">
        <is>
          <t>Filter WHERE qty &gt; 0 AND revenue &gt; 0 for modeling (drops 106M rows)</t>
        </is>
      </c>
    </row>
    <row r="25">
      <c r="A25" s="4" t="inlineStr">
        <is>
          <t>calendar_hierarchy</t>
        </is>
      </c>
      <c r="B25" s="4" t="inlineStr">
        <is>
          <t>ADJUSTED_LY_WEEK_ID</t>
        </is>
      </c>
      <c r="C25" s="4" t="inlineStr">
        <is>
          <t>Sentinel value</t>
        </is>
      </c>
      <c r="D25" s="4" t="inlineStr">
        <is>
          <t>201401 is used for 371 rows where no valid LY comp exists</t>
        </is>
      </c>
      <c r="E25" s="4" t="inlineStr">
        <is>
          <t>WHERE ADJUSTED_LY_WEEK_ID != 201401 when doing YoY</t>
        </is>
      </c>
    </row>
    <row r="26">
      <c r="A26" s="4" t="inlineStr">
        <is>
          <t>store_master</t>
        </is>
      </c>
      <c r="B26" s="4" t="inlineStr">
        <is>
          <t>CMNTY vs COMMUNITY</t>
        </is>
      </c>
      <c r="C26" s="4" t="inlineStr">
        <is>
          <t>Inconsistent spelling</t>
        </is>
      </c>
      <c r="D26" s="4" t="inlineStr">
        <is>
          <t>Same channel with 2 spellings (26 + 13 stores)</t>
        </is>
      </c>
      <c r="E26" s="4" t="inlineStr">
        <is>
          <t>Standardize in query: UPPER(TRIM(channel))</t>
        </is>
      </c>
    </row>
    <row r="27">
      <c r="A27" s="4" t="inlineStr">
        <is>
          <t>product_master</t>
        </is>
      </c>
      <c r="B27" s="4" t="inlineStr">
        <is>
          <t>l8_name</t>
        </is>
      </c>
      <c r="C27" s="4" t="inlineStr">
        <is>
          <t>Naming inconsistency</t>
        </is>
      </c>
      <c r="D27" s="4" t="inlineStr">
        <is>
          <t>260K l8_ids have multiple names (87%)</t>
        </is>
      </c>
      <c r="E27" s="4" t="inlineStr">
        <is>
          <t>Always use l8_id for joins; l8_name is display-only</t>
        </is>
      </c>
    </row>
    <row r="28">
      <c r="A28" s="4" t="inlineStr">
        <is>
          <t>product_master</t>
        </is>
      </c>
      <c r="B28" s="4" t="inlineStr">
        <is>
          <t>gender for Unisex</t>
        </is>
      </c>
      <c r="C28" s="4" t="inlineStr">
        <is>
          <t>Priority in derivation</t>
        </is>
      </c>
      <c r="D28" s="4" t="inlineStr">
        <is>
          <t>Unisex products often have l5_name='Womens X' — naive derivation overwrites to Womens</t>
        </is>
      </c>
      <c r="E28" s="4" t="inlineStr">
        <is>
          <t>Priority: populated gender &gt; l5 prefix &gt; Unisex fallback</t>
        </is>
      </c>
    </row>
    <row r="29">
      <c r="A29" s="4" t="inlineStr">
        <is>
          <t>inventory_master</t>
        </is>
      </c>
      <c r="B29" s="4" t="inlineStr">
        <is>
          <t>oh &lt; 0</t>
        </is>
      </c>
      <c r="C29" s="4" t="inlineStr">
        <is>
          <t>Negative values allowed</t>
        </is>
      </c>
      <c r="D29" s="4" t="inlineStr">
        <is>
          <t>64M rows (0.89%) have negative on-hand; min = -3,704,869</t>
        </is>
      </c>
      <c r="E29" s="4" t="inlineStr">
        <is>
          <t>Use GREATEST(oh, 0) for 'available' qty, or filter oh &gt;= 0</t>
        </is>
      </c>
    </row>
  </sheetData>
  <autoFilter ref="A4:E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50" customWidth="1" min="3" max="3"/>
    <col width="80" customWidth="1" min="4" max="4"/>
  </cols>
  <sheetData>
    <row r="1">
      <c r="A1" s="5" t="inlineStr">
        <is>
          <t>Self-Resolved Items — No Client Wait</t>
        </is>
      </c>
    </row>
    <row r="2">
      <c r="A2" s="2" t="inlineStr">
        <is>
          <t>Things we fixed ourselves with derivations / derived flags.</t>
        </is>
      </c>
    </row>
    <row r="4" ht="28" customHeight="1">
      <c r="A4" s="6" t="inlineStr">
        <is>
          <t>Item</t>
        </is>
      </c>
      <c r="B4" s="6" t="inlineStr">
        <is>
          <t>Table</t>
        </is>
      </c>
      <c r="C4" s="6" t="inlineStr">
        <is>
          <t>Impact</t>
        </is>
      </c>
      <c r="D4" s="6" t="inlineStr">
        <is>
          <t>Derivation / Resolution</t>
        </is>
      </c>
    </row>
    <row r="5">
      <c r="A5" s="18" t="inlineStr">
        <is>
          <t>Gender coverage</t>
        </is>
      </c>
      <c r="B5" s="18" t="inlineStr">
        <is>
          <t>product_master</t>
        </is>
      </c>
      <c r="C5" s="18" t="inlineStr">
        <is>
          <t>73% null → 99.96% coverage. No client wait.</t>
        </is>
      </c>
      <c r="D5" s="18" t="inlineStr">
        <is>
          <t>CASE populated-gender &gt; l5_name prefix &gt; Lab variants &gt; Unisex fallback. See lululemon-bq-context.mdc.</t>
        </is>
      </c>
    </row>
    <row r="6">
      <c r="A6" s="18" t="inlineStr">
        <is>
          <t>Active-product filter</t>
        </is>
      </c>
      <c r="B6" s="18" t="inlineStr">
        <is>
          <t>product_master</t>
        </is>
      </c>
      <c r="C6" s="18" t="inlineStr">
        <is>
          <t>active_flag uniformly 'ACTIVE' was useless → flex_status gives clear sell-cycle</t>
        </is>
      </c>
      <c r="D6" s="18" t="inlineStr">
        <is>
          <t>WHERE flex_status IN ('Active','Drop'). 'Active' = 66.6%, 'Drop' = 28.9% (sell-down).</t>
        </is>
      </c>
    </row>
    <row r="7">
      <c r="A7" s="18" t="inlineStr">
        <is>
          <t>Color family grouping</t>
        </is>
      </c>
      <c r="B7" s="18" t="inlineStr">
        <is>
          <t>product_master</t>
        </is>
      </c>
      <c r="C7" s="18" t="inlineStr">
        <is>
          <t>color_family 100% NULL → derive from color_description</t>
        </is>
      </c>
      <c r="D7" s="18" t="inlineStr">
        <is>
          <t>color_description is 100% populated with perfect 1:1 to color_code (26,480 codes).</t>
        </is>
      </c>
    </row>
    <row r="8">
      <c r="A8" s="18" t="inlineStr">
        <is>
          <t>Zero-qty row hypothesis</t>
        </is>
      </c>
      <c r="B8" s="18" t="inlineStr">
        <is>
          <t>transaction_master</t>
        </is>
      </c>
      <c r="C8" s="18" t="inlineStr">
        <is>
          <t>27% (106M) of rows are non-sale events — confirmed via evidence</t>
        </is>
      </c>
      <c r="D8" s="18" t="inlineStr">
        <is>
          <t>WHERE qty &gt; 0 AND revenue &gt; 0. Drops 106M cart/browse/gift-card events. Retains 284M real sales.</t>
        </is>
      </c>
    </row>
    <row r="9">
      <c r="A9" s="18" t="inlineStr">
        <is>
          <t>Virtual store classification</t>
        </is>
      </c>
      <c r="B9" s="18" t="inlineStr">
        <is>
          <t>store_master</t>
        </is>
      </c>
      <c r="C9" s="18" t="inlineStr">
        <is>
          <t>10 ECOMM virtual stores formally flagged</t>
        </is>
      </c>
      <c r="D9" s="18" t="inlineStr">
        <is>
          <t>store_format_code='E-COMMERCE' (30 stores). Also discovered 3 China platforms: Tmall/WeChat/JD.</t>
        </is>
      </c>
    </row>
    <row r="10">
      <c r="A10" s="18" t="inlineStr">
        <is>
          <t>Referential integrity (all tables)</t>
        </is>
      </c>
      <c r="B10" s="18" t="inlineStr">
        <is>
          <t>inventory × product × store × transaction</t>
        </is>
      </c>
      <c r="C10" s="18" t="inlineStr">
        <is>
          <t>CLEAN. Zero orphans in any direction.</t>
        </is>
      </c>
      <c r="D10" s="18" t="inlineStr">
        <is>
          <t>No fix needed.</t>
        </is>
      </c>
    </row>
    <row r="11">
      <c r="A11" s="18" t="inlineStr">
        <is>
          <t>PK/Grain confirmation</t>
        </is>
      </c>
      <c r="B11" s="18" t="inlineStr">
        <is>
          <t>all 5 master tables</t>
        </is>
      </c>
      <c r="C11" s="18" t="inlineStr">
        <is>
          <t>All PKs confirmed, no hidden duplicates</t>
        </is>
      </c>
      <c r="D11" s="18" t="inlineStr">
        <is>
          <t>product_code, transaction_code, (date,store,product), store_code, DAY_ID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2026-04-21T11:42:26Z</dcterms:created>
  <dcterms:modified xmlns:dcterms="http://purl.org/dc/terms/" xmlns:xsi="http://www.w3.org/2001/XMLSchema-instance" xsi:type="dcterms:W3CDTF">2026-04-22T14:02:52Z</dcterms:modified>
</cp:coreProperties>
</file>